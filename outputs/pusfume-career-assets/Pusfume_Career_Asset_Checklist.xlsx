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a3559b179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31e0a88191145e9"/>
    <x:sheet xmlns:r="http://schemas.openxmlformats.org/officeDocument/2006/relationships" name="Animations" sheetId="2" r:id="R4b3deec2f0f84b6f"/>
    <x:sheet xmlns:r="http://schemas.openxmlformats.org/officeDocument/2006/relationships" name="Models-Rig-Physics" sheetId="3" r:id="R36a9d2a38a504f85"/>
    <x:sheet xmlns:r="http://schemas.openxmlformats.org/officeDocument/2006/relationships" name="Textures-Materials" sheetId="4" r:id="R5b2ce0d1339d4b41"/>
    <x:sheet xmlns:r="http://schemas.openxmlformats.org/officeDocument/2006/relationships" name="UI-Icons" sheetId="5" r:id="Rc41b19d89bec4e9b"/>
    <x:sheet xmlns:r="http://schemas.openxmlformats.org/officeDocument/2006/relationships" name="Audio-VO" sheetId="6" r:id="Ra59099120ac84248"/>
    <x:sheet xmlns:r="http://schemas.openxmlformats.org/officeDocument/2006/relationships" name="VFX-Gameplay" sheetId="7" r:id="R2b0e096bf2524452"/>
    <x:sheet xmlns:r="http://schemas.openxmlformats.org/officeDocument/2006/relationships" name="Export-Specs" sheetId="8" r:id="R7a8d06c7b96a4234"/>
    <x:sheet xmlns:r="http://schemas.openxmlformats.org/officeDocument/2006/relationships" name="Source-Map" sheetId="9" r:id="R7db921517c29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4">
    <x:font>
      <x:sz val="11"/>
      <x:name val="Carlito"/>
    </x:font>
    <x:font>
      <x:b/>
      <x:sz val="20"/>
      <x:color rgb="FFFFFFFF"/>
      <x:name val="Aptos Display"/>
    </x:font>
    <x:font>
      <x:sz val="10"/>
      <x:color rgb="FFE8EEF2"/>
      <x:name val="Aptos"/>
    </x:font>
    <x:font>
      <x:b/>
      <x:sz val="10"/>
      <x:color rgb="FFFFFFFF"/>
      <x:name val="Aptos"/>
    </x:font>
    <x:font>
      <x:sz val="9"/>
      <x:color rgb="FF17212B"/>
      <x:name val="Aptos"/>
    </x:font>
    <x:font>
      <x:b/>
      <x:sz val="9"/>
      <x:color rgb="FF167D7F"/>
      <x:name val="Aptos"/>
    </x:font>
    <x:font>
      <x:b/>
      <x:sz val="9"/>
      <x:color rgb="FFDCE7ED"/>
      <x:name val="Aptos"/>
    </x:font>
    <x:font>
      <x:b/>
      <x:sz val="23"/>
      <x:color rgb="FF17212B"/>
      <x:name val="Aptos Display"/>
    </x:font>
    <x:font>
      <x:b/>
      <x:sz val="9"/>
      <x:color rgb="FFFFFFFF"/>
      <x:name val="Aptos"/>
    </x:font>
    <x:font>
      <x:b/>
      <x:sz val="22"/>
      <x:color rgb="FF167D7F"/>
      <x:name val="Aptos Display"/>
    </x:font>
    <x:font>
      <x:b/>
      <x:sz val="11"/>
      <x:color rgb="FFFFFFFF"/>
      <x:name val="Carlito"/>
    </x:font>
    <x:font>
      <x:sz val="10"/>
      <x:color rgb="FF17212B"/>
      <x:name val="Aptos"/>
    </x:font>
    <x:font>
      <x:b/>
      <x:sz val="10"/>
      <x:color rgb="FF17212B"/>
      <x:name val="Aptos"/>
    </x:font>
    <x:font>
      <x:sz val="11"/>
      <x:color rgb="FF17212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212B"/>
      </x:patternFill>
    </x:fill>
    <x:fill>
      <x:patternFill patternType="solid">
        <x:fgColor rgb="FF213547"/>
      </x:patternFill>
    </x:fill>
    <x:fill>
      <x:patternFill patternType="solid">
        <x:fgColor rgb="FF167D7F"/>
      </x:patternFill>
    </x:fill>
    <x:fill>
      <x:patternFill patternType="solid">
        <x:fgColor rgb="FFF4F0E6"/>
      </x:patternFill>
    </x:fill>
    <x:fill>
      <x:patternFill patternType="solid">
        <x:fgColor rgb="FFDCEEEE"/>
      </x:patternFill>
    </x:fill>
    <x:fill>
      <x:patternFill patternType="solid">
        <x:fgColor rgb="FFFFFFFF"/>
      </x:patternFill>
    </x:fill>
  </x:fills>
  <x:borders count="7">
    <x:border/>
    <x:border>
      <x:bottom style="medium">
        <x:color rgb="FFC99738"/>
      </x:bottom>
    </x:border>
    <x:border>
      <x:bottom style="thin">
        <x:color rgb="FFD7DCE0"/>
      </x:bottom>
    </x:border>
    <x:border>
      <x:top style="thin">
        <x:color rgb="FFD7DCE0"/>
      </x:top>
      <x:bottom style="thin">
        <x:color rgb="FFD7DCE0"/>
      </x:bottom>
    </x:border>
    <x:border>
      <x:top style="thin">
        <x:color rgb="FFD7DCE0"/>
      </x:top>
    </x:border>
    <x:border>
      <x:bottom style="medium">
        <x:color rgb="FF167D7F"/>
      </x:bottom>
    </x:border>
    <x:border>
      <x:top style="medium">
        <x:color rgb="FFC99738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5" xfId="0" applyNumberFormat="1" applyFont="1" applyFill="1" applyBorder="1"/>
    <x:xf numFmtId="200" fontId="9" fillId="6" borderId="0" xfId="0" applyNumberFormat="1" applyFont="1" applyFill="1" applyBorder="1"/>
    <x:xf numFmtId="200" fontId="9" fillId="6" borderId="5" xfId="0" applyNumberFormat="1" applyFont="1" applyFill="1" applyBorder="1"/>
    <x:xf numFmtId="200" fontId="9" fillId="6" borderId="0" xfId="0" applyNumberFormat="1" applyFont="1" applyFill="1" applyBorder="1" applyAlignment="1">
      <x:alignment horizontal="center"/>
    </x:xf>
    <x:xf numFmtId="200" fontId="9" fillId="6" borderId="5" xfId="0" applyNumberFormat="1" applyFont="1" applyFill="1" applyBorder="1" applyAlignment="1">
      <x:alignment horizont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borderId="5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2" xfId="0" applyNumberFormat="1" applyFont="1" applyFill="1" applyBorder="1"/>
    <x:xf numFmtId="0" fontId="11" fillId="7" borderId="3" xfId="0" applyNumberFormat="1" applyFont="1" applyFill="1" applyBorder="1"/>
    <x:xf numFmtId="0" fontId="11" fillId="7" borderId="4" xfId="0" applyNumberFormat="1" applyFont="1" applyFill="1" applyBorder="1"/>
    <x:xf numFmtId="0" fontId="11" fillId="7" borderId="2" xfId="0" applyNumberFormat="1" applyFont="1" applyFill="1" applyBorder="1" applyAlignment="1">
      <x:alignment vertical="center"/>
    </x:xf>
    <x:xf numFmtId="0" fontId="11" fillId="7" borderId="3" xfId="0" applyNumberFormat="1" applyFont="1" applyFill="1" applyBorder="1" applyAlignment="1">
      <x:alignment vertical="center"/>
    </x:xf>
    <x:xf numFmtId="0" fontId="11" fillId="7" borderId="4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horizontal="center" vertic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4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200" fontId="11" fillId="0" borderId="2" xfId="0" applyNumberFormat="1" applyFont="1" applyFill="1" applyBorder="1"/>
    <x:xf numFmtId="200" fontId="11" fillId="0" borderId="3" xfId="0" applyNumberFormat="1" applyFont="1" applyFill="1" applyBorder="1"/>
    <x:xf numFmtId="200" fontId="11" fillId="0" borderId="4" xfId="0" applyNumberFormat="1" applyFont="1" applyFill="1" applyBorder="1"/>
    <x:xf numFmtId="0" fontId="11" fillId="5" borderId="4" xfId="0" applyNumberFormat="1" applyFont="1" applyFill="1" applyBorder="1"/>
    <x:xf numFmtId="200" fontId="11" fillId="5" borderId="4" xfId="0" applyNumberFormat="1" applyFont="1" applyFill="1" applyBorder="1"/>
    <x:xf numFmtId="0" fontId="12" fillId="5" borderId="4" xfId="0" applyNumberFormat="1" applyFont="1" applyFill="1" applyBorder="1"/>
    <x:xf numFmtId="200" fontId="12" fillId="5" borderId="4" xfId="0" applyNumberFormat="1" applyFont="1" applyFill="1" applyBorder="1"/>
    <x:xf numFmtId="0" fontId="12" fillId="5" borderId="6" xfId="0" applyNumberFormat="1" applyFont="1" applyFill="1" applyBorder="1"/>
    <x:xf numFmtId="200" fontId="12" fillId="5" borderId="6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b/>
        <x:color rgb="FF155724"/>
      </x:font>
      <x:fill>
        <x:patternFill patternType="solid">
          <x:bgColor rgb="FFDCEFE2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F4E79"/>
      </x:font>
      <x:fill>
        <x:patternFill patternType="solid">
          <x:bgColor rgb="FFDDEAF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55724"/>
      </x:font>
      <x:fill>
        <x:patternFill patternType="solid">
          <x:bgColor rgb="FFDCEFE2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F4E79"/>
      </x:font>
      <x:fill>
        <x:patternFill patternType="solid">
          <x:bgColor rgb="FFDDEAF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55724"/>
      </x:font>
      <x:fill>
        <x:patternFill patternType="solid">
          <x:bgColor rgb="FFDCEFE2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F4E79"/>
      </x:font>
      <x:fill>
        <x:patternFill patternType="solid">
          <x:bgColor rgb="FFDDEAF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55724"/>
      </x:font>
      <x:fill>
        <x:patternFill patternType="solid">
          <x:bgColor rgb="FFDCEFE2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F4E79"/>
      </x:font>
      <x:fill>
        <x:patternFill patternType="solid">
          <x:bgColor rgb="FFDDEAF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55724"/>
      </x:font>
      <x:fill>
        <x:patternFill patternType="solid">
          <x:bgColor rgb="FFDCEFE2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F4E79"/>
      </x:font>
      <x:fill>
        <x:patternFill patternType="solid">
          <x:bgColor rgb="FFDDEAF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55724"/>
      </x:font>
      <x:fill>
        <x:patternFill patternType="solid">
          <x:bgColor rgb="FFDCEFE2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F4E79"/>
      </x:font>
      <x:fill>
        <x:patternFill patternType="solid">
          <x:bgColor rgb="FFDDEAF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55724"/>
      </x:font>
      <x:fill>
        <x:patternFill patternType="solid">
          <x:bgColor rgb="FFDCEFE2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F4E79"/>
      </x:font>
      <x:fill>
        <x:patternFill patternType="solid">
          <x:bgColor rgb="FFDDEAF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55724"/>
      </x:font>
      <x:fill>
        <x:patternFill patternType="solid">
          <x:bgColor rgb="FFDCEFE2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  <x:dxf>
      <x:font>
        <x:b/>
        <x:color rgb="FF1F4E79"/>
      </x:font>
      <x:fill>
        <x:patternFill patternType="solid">
          <x:bgColor rgb="FFDDEAF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300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e23d80b0747b4" /><Relationship Type="http://schemas.openxmlformats.org/officeDocument/2006/relationships/theme" Target="/xl/theme/theme1.xml" Id="Rd61f0b98aa0048f0" /><Relationship Type="http://schemas.openxmlformats.org/officeDocument/2006/relationships/sharedStrings" Target="/xl/sharedStrings.xml" Id="R0d538ba6f3f74f03" /><Relationship Type="http://schemas.openxmlformats.org/officeDocument/2006/relationships/worksheet" Target="/xl/worksheets/sheet1.xml" Id="R131e0a88191145e9" /><Relationship Type="http://schemas.openxmlformats.org/officeDocument/2006/relationships/worksheet" Target="/xl/worksheets/sheet2.xml" Id="R4b3deec2f0f84b6f" /><Relationship Type="http://schemas.openxmlformats.org/officeDocument/2006/relationships/worksheet" Target="/xl/worksheets/sheet3.xml" Id="R36a9d2a38a504f85" /><Relationship Type="http://schemas.openxmlformats.org/officeDocument/2006/relationships/worksheet" Target="/xl/worksheets/sheet4.xml" Id="R5b2ce0d1339d4b41" /><Relationship Type="http://schemas.openxmlformats.org/officeDocument/2006/relationships/worksheet" Target="/xl/worksheets/sheet5.xml" Id="Rc41b19d89bec4e9b" /><Relationship Type="http://schemas.openxmlformats.org/officeDocument/2006/relationships/worksheet" Target="/xl/worksheets/sheet6.xml" Id="Ra59099120ac84248" /><Relationship Type="http://schemas.openxmlformats.org/officeDocument/2006/relationships/worksheet" Target="/xl/worksheets/sheet7.xml" Id="R2b0e096bf2524452" /><Relationship Type="http://schemas.openxmlformats.org/officeDocument/2006/relationships/worksheet" Target="/xl/worksheets/sheet8.xml" Id="R7a8d06c7b96a4234" /><Relationship Type="http://schemas.openxmlformats.org/officeDocument/2006/relationships/worksheet" Target="/xl/worksheets/sheet9.xml" Id="R7db921517c294815" /><Relationship Type="http://schemas.microsoft.com/office/2017/10/relationships/person" Target="/xl/persons/person.xml" Id="R437f6a6818fe44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0b3529657246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Checklist items by workstream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'Dashboard'!$A$9:$A$16</c:f>
              <c:strCache>
                <c:ptCount val="0"/>
              </c:strCache>
            </c:strRef>
          </c:cat>
          <c:val>
            <c:numRef>
              <c:f>'Dashboard'!$B$9:$B$16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0b35296572469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3516A2BF-E936-4A37-B6DE-B36664681759}"/>
</xltc:personList>
</file>

<file path=xl/tables/table1.xml><?xml version="1.0" encoding="utf-8"?>
<x:table xmlns:x="http://schemas.openxmlformats.org/spreadsheetml/2006/main" id="1" name="AnimationsTable1" displayName="AnimationsTable1" ref="A4:M429" headerRowCount="1" totalsRowCount="0" totalsRowShown="0">
  <x:autoFilter ref="A4:M429"/>
  <x:tableColumns count="13">
    <x:tableColumn id="1" name="ID"/>
    <x:tableColumn id="2" name="Workstream"/>
    <x:tableColumn id="3" name="Asset / Motion"/>
    <x:tableColumn id="4" name="Perspective"/>
    <x:tableColumn id="5" name="Variant / Direction"/>
    <x:tableColumn id="6" name="Requirement"/>
    <x:tableColumn id="7" name="Priority"/>
    <x:tableColumn id="8" name="Status"/>
    <x:tableColumn id="9" name="Owner"/>
    <x:tableColumn id="10" name="Deliverable / Format"/>
    <x:tableColumn id="11" name="Acceptance Criteria"/>
    <x:tableColumn id="12" name="VT2 Source Reference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sRigPhysicsTable2" displayName="ModelsRigPhysicsTable2" ref="A4:M55" headerRowCount="1" totalsRowCount="0" totalsRowShown="0">
  <x:autoFilter ref="A4:M55"/>
  <x:tableColumns count="13">
    <x:tableColumn id="1" name="ID"/>
    <x:tableColumn id="2" name="Workstream"/>
    <x:tableColumn id="3" name="Asset / Motion"/>
    <x:tableColumn id="4" name="Perspective"/>
    <x:tableColumn id="5" name="Variant / Direction"/>
    <x:tableColumn id="6" name="Requirement"/>
    <x:tableColumn id="7" name="Priority"/>
    <x:tableColumn id="8" name="Status"/>
    <x:tableColumn id="9" name="Owner"/>
    <x:tableColumn id="10" name="Deliverable / Format"/>
    <x:tableColumn id="11" name="Acceptance Criteria"/>
    <x:tableColumn id="12" name="VT2 Source Reference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xturesMaterialsTable3" displayName="TexturesMaterialsTable3" ref="A4:M74" headerRowCount="1" totalsRowCount="0" totalsRowShown="0">
  <x:autoFilter ref="A4:M74"/>
  <x:tableColumns count="13">
    <x:tableColumn id="1" name="ID"/>
    <x:tableColumn id="2" name="Workstream"/>
    <x:tableColumn id="3" name="Asset / Motion"/>
    <x:tableColumn id="4" name="Perspective"/>
    <x:tableColumn id="5" name="Variant / Direction"/>
    <x:tableColumn id="6" name="Requirement"/>
    <x:tableColumn id="7" name="Priority"/>
    <x:tableColumn id="8" name="Status"/>
    <x:tableColumn id="9" name="Owner"/>
    <x:tableColumn id="10" name="Deliverable / Format"/>
    <x:tableColumn id="11" name="Acceptance Criteria"/>
    <x:tableColumn id="12" name="VT2 Source Referenc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IIconsTable4" displayName="UIIconsTable4" ref="A4:M60" headerRowCount="1" totalsRowCount="0" totalsRowShown="0">
  <x:autoFilter ref="A4:M60"/>
  <x:tableColumns count="13">
    <x:tableColumn id="1" name="ID"/>
    <x:tableColumn id="2" name="Workstream"/>
    <x:tableColumn id="3" name="Asset / Motion"/>
    <x:tableColumn id="4" name="Perspective"/>
    <x:tableColumn id="5" name="Variant / Direction"/>
    <x:tableColumn id="6" name="Requirement"/>
    <x:tableColumn id="7" name="Priority"/>
    <x:tableColumn id="8" name="Status"/>
    <x:tableColumn id="9" name="Owner"/>
    <x:tableColumn id="10" name="Deliverable / Format"/>
    <x:tableColumn id="11" name="Acceptance Criteria"/>
    <x:tableColumn id="12" name="VT2 Source Reference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oVOTable5" displayName="AudioVOTable5" ref="A4:M105" headerRowCount="1" totalsRowCount="0" totalsRowShown="0">
  <x:autoFilter ref="A4:M105"/>
  <x:tableColumns count="13">
    <x:tableColumn id="1" name="ID"/>
    <x:tableColumn id="2" name="Workstream"/>
    <x:tableColumn id="3" name="Asset / Motion"/>
    <x:tableColumn id="4" name="Perspective"/>
    <x:tableColumn id="5" name="Variant / Direction"/>
    <x:tableColumn id="6" name="Requirement"/>
    <x:tableColumn id="7" name="Priority"/>
    <x:tableColumn id="8" name="Status"/>
    <x:tableColumn id="9" name="Owner"/>
    <x:tableColumn id="10" name="Deliverable / Format"/>
    <x:tableColumn id="11" name="Acceptance Criteria"/>
    <x:tableColumn id="12" name="VT2 Source Reference"/>
    <x:tableColumn id="1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FXGameplayTable6" displayName="VFXGameplayTable6" ref="A4:M46" headerRowCount="1" totalsRowCount="0" totalsRowShown="0">
  <x:autoFilter ref="A4:M46"/>
  <x:tableColumns count="13">
    <x:tableColumn id="1" name="ID"/>
    <x:tableColumn id="2" name="Workstream"/>
    <x:tableColumn id="3" name="Asset / Motion"/>
    <x:tableColumn id="4" name="Perspective"/>
    <x:tableColumn id="5" name="Variant / Direction"/>
    <x:tableColumn id="6" name="Requirement"/>
    <x:tableColumn id="7" name="Priority"/>
    <x:tableColumn id="8" name="Status"/>
    <x:tableColumn id="9" name="Owner"/>
    <x:tableColumn id="10" name="Deliverable / Format"/>
    <x:tableColumn id="11" name="Acceptance Criteria"/>
    <x:tableColumn id="12" name="VT2 Source Reference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portSpecsTable7" displayName="ExportSpecsTable7" ref="A4:M48" headerRowCount="1" totalsRowCount="0" totalsRowShown="0">
  <x:autoFilter ref="A4:M48"/>
  <x:tableColumns count="13">
    <x:tableColumn id="1" name="ID"/>
    <x:tableColumn id="2" name="Workstream"/>
    <x:tableColumn id="3" name="Asset / Motion"/>
    <x:tableColumn id="4" name="Perspective"/>
    <x:tableColumn id="5" name="Variant / Direction"/>
    <x:tableColumn id="6" name="Requirement"/>
    <x:tableColumn id="7" name="Priority"/>
    <x:tableColumn id="8" name="Status"/>
    <x:tableColumn id="9" name="Owner"/>
    <x:tableColumn id="10" name="Deliverable / Format"/>
    <x:tableColumn id="11" name="Acceptance Criteria"/>
    <x:tableColumn id="12" name="VT2 Source Reference"/>
    <x:tableColumn id="13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MapTable8" displayName="SourceMapTable8" ref="A4:M38" headerRowCount="1" totalsRowCount="0" totalsRowShown="0">
  <x:autoFilter ref="A4:M38"/>
  <x:tableColumns count="13">
    <x:tableColumn id="1" name="ID"/>
    <x:tableColumn id="2" name="Workstream"/>
    <x:tableColumn id="3" name="Asset / Motion"/>
    <x:tableColumn id="4" name="Perspective"/>
    <x:tableColumn id="5" name="Variant / Direction"/>
    <x:tableColumn id="6" name="Requirement"/>
    <x:tableColumn id="7" name="Priority"/>
    <x:tableColumn id="8" name="Status"/>
    <x:tableColumn id="9" name="Owner"/>
    <x:tableColumn id="10" name="Deliverable / Format"/>
    <x:tableColumn id="11" name="Acceptance Criteria"/>
    <x:tableColumn id="12" name="VT2 Source Referenc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e82396ab0a43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c899062d041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64e407d78649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e073b9e65a44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a0aa36510b48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b5fe0432b546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6e6c19603641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9b679fa0e440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be124ba6cf46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3" t="str">
        <x:v>Pusfume Career Production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Source-referenced master checklist for Janfon and the engineering team. Update Status, Owner, Priority, and Requirement fields on the detailed sheets; this dashboard recalculates automatically.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5" customHeight="1">
      <x:c r="A4" s="31" t="str">
        <x:v>TOTAL ITEMS</x:v>
      </x:c>
      <x:c r="B4" s="31"/>
      <x:c r="C4" s="31"/>
      <x:c r="D4" s="31" t="str">
        <x:v>REQUIRED</x:v>
      </x:c>
      <x:c r="E4" s="31"/>
      <x:c r="F4" s="31"/>
      <x:c r="G4" s="31" t="str">
        <x:v>COMPLETE</x:v>
      </x:c>
      <x:c r="H4" s="31"/>
      <x:c r="I4" s="31"/>
      <x:c r="J4" s="31" t="str">
        <x:v>IN PROGRESS</x:v>
      </x:c>
      <x:c r="K4" s="31"/>
      <x:c r="L4" s="31"/>
      <x:c r="M4" s="41" t="str">
        <x:v>REQUIRED COMPLETE</x:v>
      </x:c>
      <x:c r="N4" s="41"/>
    </x:row>
    <x:row r="5" ht="25" customHeight="1">
      <x:c r="A5" s="37" t="n">
        <x:f>SUM(COUNTA('Animations'!A5:A429),COUNTA('Models-Rig-Physics'!A5:A55),COUNTA('Textures-Materials'!A5:A74),COUNTA('UI-Icons'!A5:A60),COUNTA('Audio-VO'!A5:A105),COUNTA('VFX-Gameplay'!A5:A46),COUNTA('Export-Specs'!A5:A48),COUNTA('Source-Map'!A5:A38))</x:f>
        <x:v>823</x:v>
      </x:c>
      <x:c r="B5" s="37"/>
      <x:c r="C5" s="37"/>
      <x:c r="D5" s="37" t="n">
        <x:f>SUM(COUNTIF('Animations'!F5:F429,"Required"),COUNTIF('Models-Rig-Physics'!F5:F55,"Required"),COUNTIF('Textures-Materials'!F5:F74,"Required"),COUNTIF('UI-Icons'!F5:F60,"Required"),COUNTIF('Audio-VO'!F5:F105,"Required"),COUNTIF('VFX-Gameplay'!F5:F46,"Required"),COUNTIF('Export-Specs'!F5:F48,"Required"),COUNTIF('Source-Map'!F5:F38,"Required"))</x:f>
        <x:v>657</x:v>
      </x:c>
      <x:c r="E5" s="37"/>
      <x:c r="F5" s="37"/>
      <x:c r="G5" s="37" t="n">
        <x:f>SUM(COUNTIF('Animations'!H5:H429,"Complete"),COUNTIF('Models-Rig-Physics'!H5:H55,"Complete"),COUNTIF('Textures-Materials'!H5:H74,"Complete"),COUNTIF('UI-Icons'!H5:H60,"Complete"),COUNTIF('Audio-VO'!H5:H105,"Complete"),COUNTIF('VFX-Gameplay'!H5:H46,"Complete"),COUNTIF('Export-Specs'!H5:H48,"Complete"),COUNTIF('Source-Map'!H5:H38,"Complete"))</x:f>
        <x:v>34</x:v>
      </x:c>
      <x:c r="H5" s="37"/>
      <x:c r="I5" s="37"/>
      <x:c r="J5" s="37" t="n">
        <x:f>SUM(COUNTIF('Animations'!H5:H429,"In Progress"),COUNTIF('Models-Rig-Physics'!H5:H55,"In Progress"),COUNTIF('Textures-Materials'!H5:H74,"In Progress"),COUNTIF('UI-Icons'!H5:H60,"In Progress"),COUNTIF('Audio-VO'!H5:H105,"In Progress"),COUNTIF('VFX-Gameplay'!H5:H46,"In Progress"),COUNTIF('Export-Specs'!H5:H48,"In Progress"),COUNTIF('Source-Map'!H5:H38,"In Progress"))</x:f>
        <x:v>2</x:v>
      </x:c>
      <x:c r="K5" s="37"/>
      <x:c r="L5" s="37"/>
      <x:c r="M5" s="49" t="n">
        <x:f>IFERROR(SUM(COUNTIF('Animations'!H5:H429,"Complete"),COUNTIF('Models-Rig-Physics'!H5:H55,"Complete"),COUNTIF('Textures-Materials'!H5:H74,"Complete"),COUNTIF('UI-Icons'!H5:H60,"Complete"),COUNTIF('Audio-VO'!H5:H105,"Complete"),COUNTIF('VFX-Gameplay'!H5:H46,"Complete"),COUNTIF('Export-Specs'!H5:H48,"Complete"),COUNTIF('Source-Map'!H5:H38,"Complete"))/SUM(COUNTIF('Animations'!F5:F429,"Required"),COUNTIF('Models-Rig-Physics'!F5:F55,"Required"),COUNTIF('Textures-Materials'!F5:F74,"Required"),COUNTIF('UI-Icons'!F5:F60,"Required"),COUNTIF('Audio-VO'!F5:F105,"Required"),COUNTIF('VFX-Gameplay'!F5:F46,"Required"),COUNTIF('Export-Specs'!F5:F48,"Required"),COUNTIF('Source-Map'!F5:F38,"Required")),0)</x:f>
        <x:v>0.0517503805175038</x:v>
      </x:c>
      <x:c r="N5" s="49"/>
    </x:row>
    <x:row r="6" ht="25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50"/>
      <x:c r="N6" s="50"/>
    </x:row>
    <x:row r="8" ht="24" customHeight="1">
      <x:c r="A8" s="53" t="str">
        <x:v>WORKSTREAM</x:v>
      </x:c>
      <x:c r="B8" s="53" t="str">
        <x:v>TOTAL</x:v>
      </x:c>
      <x:c r="C8" s="53" t="str">
        <x:v>P0 OPEN</x:v>
      </x:c>
    </x:row>
    <x:row r="9" ht="24" customHeight="1">
      <x:c r="A9" s="59" t="str">
        <x:v>Animation Checklist</x:v>
      </x:c>
      <x:c r="B9" s="62" t="n">
        <x:f>COUNTA('Animations'!A5:A429)</x:f>
        <x:v>425</x:v>
      </x:c>
      <x:c r="C9" s="62" t="n">
        <x:f>COUNTIFS('Animations'!G5:G429,"P0",'Animations'!H5:H429,"&lt;&gt;Complete")</x:f>
        <x:v>168</x:v>
      </x:c>
    </x:row>
    <x:row r="10" ht="24" customHeight="1">
      <x:c r="A10" s="60" t="str">
        <x:v>Models, Rig &amp; Physics</x:v>
      </x:c>
      <x:c r="B10" s="63" t="n">
        <x:f>COUNTA('Models-Rig-Physics'!A5:A55)</x:f>
        <x:v>51</x:v>
      </x:c>
      <x:c r="C10" s="63" t="n">
        <x:f>COUNTIFS('Models-Rig-Physics'!G5:G55,"P0",'Models-Rig-Physics'!H5:H55,"&lt;&gt;Complete")</x:f>
        <x:v>9</x:v>
      </x:c>
    </x:row>
    <x:row r="11" ht="24" customHeight="1">
      <x:c r="A11" s="60" t="str">
        <x:v>Textures &amp; Materials</x:v>
      </x:c>
      <x:c r="B11" s="63" t="n">
        <x:f>COUNTA('Textures-Materials'!A5:A74)</x:f>
        <x:v>70</x:v>
      </x:c>
      <x:c r="C11" s="63" t="n">
        <x:f>COUNTIFS('Textures-Materials'!G5:G74,"P0",'Textures-Materials'!H5:H74,"&lt;&gt;Complete")</x:f>
        <x:v>35</x:v>
      </x:c>
    </x:row>
    <x:row r="12" ht="24" customHeight="1">
      <x:c r="A12" s="60" t="str">
        <x:v>UI, Portraits &amp; Icons</x:v>
      </x:c>
      <x:c r="B12" s="63" t="n">
        <x:f>COUNTA('UI-Icons'!A5:A60)</x:f>
        <x:v>56</x:v>
      </x:c>
      <x:c r="C12" s="63" t="n">
        <x:f>COUNTIFS('UI-Icons'!G5:G60,"P0",'UI-Icons'!H5:H60,"&lt;&gt;Complete")</x:f>
        <x:v>8</x:v>
      </x:c>
    </x:row>
    <x:row r="13" ht="24" customHeight="1">
      <x:c r="A13" s="60" t="str">
        <x:v>Audio &amp; Voice</x:v>
      </x:c>
      <x:c r="B13" s="63" t="n">
        <x:f>COUNTA('Audio-VO'!A5:A105)</x:f>
        <x:v>101</x:v>
      </x:c>
      <x:c r="C13" s="63" t="n">
        <x:f>COUNTIFS('Audio-VO'!G5:G105,"P0",'Audio-VO'!H5:H105,"&lt;&gt;Complete")</x:f>
        <x:v>1</x:v>
      </x:c>
    </x:row>
    <x:row r="14" ht="24" customHeight="1">
      <x:c r="A14" s="60" t="str">
        <x:v>VFX &amp; Gameplay Assets</x:v>
      </x:c>
      <x:c r="B14" s="63" t="n">
        <x:f>COUNTA('VFX-Gameplay'!A5:A46)</x:f>
        <x:v>42</x:v>
      </x:c>
      <x:c r="C14" s="63" t="n">
        <x:f>COUNTIFS('VFX-Gameplay'!G5:G46,"P0",'VFX-Gameplay'!H5:H46,"&lt;&gt;Complete")</x:f>
        <x:v>11</x:v>
      </x:c>
    </x:row>
    <x:row r="15" ht="24" customHeight="1">
      <x:c r="A15" s="60" t="str">
        <x:v>Export &amp; Validation Specs</x:v>
      </x:c>
      <x:c r="B15" s="63" t="n">
        <x:f>COUNTA('Export-Specs'!A5:A48)</x:f>
        <x:v>44</x:v>
      </x:c>
      <x:c r="C15" s="63" t="n">
        <x:f>COUNTIFS('Export-Specs'!G5:G48,"P0",'Export-Specs'!H5:H48,"&lt;&gt;Complete")</x:f>
        <x:v>4</x:v>
      </x:c>
    </x:row>
    <x:row r="16" ht="24" customHeight="1">
      <x:c r="A16" s="61" t="str">
        <x:v>Source Map</x:v>
      </x:c>
      <x:c r="B16" s="64" t="n">
        <x:f>COUNTA('Source-Map'!A5:A38)</x:f>
        <x:v>34</x:v>
      </x:c>
      <x:c r="C16" s="64" t="n">
        <x:f>COUNTIFS('Source-Map'!G5:G38,"P0",'Source-Map'!H5:H38,"&lt;&gt;Complete")</x:f>
        <x:v>0</x:v>
      </x:c>
    </x:row>
    <x:row r="17" ht="24" customHeight="1"/>
    <x:row r="18" ht="24" customHeight="1"/>
    <x:row r="19" ht="24" customHeight="1">
      <x:c r="A19" s="66" t="str">
        <x:v>STATUS</x:v>
      </x:c>
      <x:c r="B19" s="66" t="str">
        <x:v>COUNT</x:v>
      </x:c>
      <x:c r="C19" s="66" t="str">
        <x:v>% OF TOTAL</x:v>
      </x:c>
    </x:row>
    <x:row r="20" ht="24" customHeight="1">
      <x:c r="A20" s="68" t="str">
        <x:v>Not Started</x:v>
      </x:c>
      <x:c r="B20" s="68" t="n">
        <x:f>SUM(COUNTIF('Animations'!H5:H429,"Not Started"),COUNTIF('Models-Rig-Physics'!H5:H55,"Not Started"),COUNTIF('Textures-Materials'!H5:H74,"Not Started"),COUNTIF('UI-Icons'!H5:H60,"Not Started"),COUNTIF('Audio-VO'!H5:H105,"Not Started"),COUNTIF('VFX-Gameplay'!H5:H46,"Not Started"),COUNTIF('Export-Specs'!H5:H48,"Not Started"),COUNTIF('Source-Map'!H5:H38,"Not Started"))</x:f>
        <x:v>786</x:v>
      </x:c>
      <x:c r="C20" s="71" t="n">
        <x:f>IFERROR(B20/$B$27,0)</x:f>
        <x:v>0.9550425273390036</x:v>
      </x:c>
      <x:c r="E20" s="80" t="str">
        <x:v>HOW TO USE THIS WORKBOOK</x:v>
      </x:c>
      <x:c r="F20" s="80"/>
      <x:c r="G20" s="80"/>
      <x:c r="H20" s="80"/>
      <x:c r="I20" s="80"/>
      <x:c r="J20" s="80"/>
      <x:c r="K20" s="80"/>
      <x:c r="L20" s="80"/>
      <x:c r="M20" s="80"/>
      <x:c r="N20" s="80"/>
    </x:row>
    <x:row r="21" ht="24" customHeight="1">
      <x:c r="A21" s="69" t="str">
        <x:v>In Progress</x:v>
      </x:c>
      <x:c r="B21" s="69" t="n">
        <x:f>SUM(COUNTIF('Animations'!H5:H429,"In Progress"),COUNTIF('Models-Rig-Physics'!H5:H55,"In Progress"),COUNTIF('Textures-Materials'!H5:H74,"In Progress"),COUNTIF('UI-Icons'!H5:H60,"In Progress"),COUNTIF('Audio-VO'!H5:H105,"In Progress"),COUNTIF('VFX-Gameplay'!H5:H46,"In Progress"),COUNTIF('Export-Specs'!H5:H48,"In Progress"),COUNTIF('Source-Map'!H5:H38,"In Progress"))</x:f>
        <x:v>2</x:v>
      </x:c>
      <x:c r="C21" s="72" t="n">
        <x:f>IFERROR(B21/$B$27,0)</x:f>
        <x:v>0.002430133657351154</x:v>
      </x:c>
      <x:c r="E21" s="85" t="str">
        <x:v>Janfon: filter each detailed sheet by Owner, Priority, Requirement, or Status. Engineering: keep source IDs and acceptance criteria current as runtime contracts evolve. Mark an item Complete only after its stated acceptance criteria are demonstrated in Blender/compiler tests and, where required, in a live host/client game test. Unknown or future-roster work should be Conditional rather than silently omitted.</x:v>
      </x:c>
      <x:c r="F21" s="85"/>
      <x:c r="G21" s="85"/>
      <x:c r="H21" s="85"/>
      <x:c r="I21" s="85"/>
      <x:c r="J21" s="85"/>
      <x:c r="K21" s="85"/>
      <x:c r="L21" s="85"/>
      <x:c r="M21" s="85"/>
      <x:c r="N21" s="85"/>
    </x:row>
    <x:row r="22" ht="24" customHeight="1">
      <x:c r="A22" s="69" t="str">
        <x:v>Ready for Review</x:v>
      </x:c>
      <x:c r="B22" s="69" t="n">
        <x:f>SUM(COUNTIF('Animations'!H5:H429,"Ready for Review"),COUNTIF('Models-Rig-Physics'!H5:H55,"Ready for Review"),COUNTIF('Textures-Materials'!H5:H74,"Ready for Review"),COUNTIF('UI-Icons'!H5:H60,"Ready for Review"),COUNTIF('Audio-VO'!H5:H105,"Ready for Review"),COUNTIF('VFX-Gameplay'!H5:H46,"Ready for Review"),COUNTIF('Export-Specs'!H5:H48,"Ready for Review"),COUNTIF('Source-Map'!H5:H38,"Ready for Review"))</x:f>
        <x:v>0</x:v>
      </x:c>
      <x:c r="C22" s="72" t="n">
        <x:f>IFERROR(B22/$B$27,0)</x:f>
        <x:v>0</x:v>
      </x:c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</x:row>
    <x:row r="23" ht="24" customHeight="1">
      <x:c r="A23" s="69" t="str">
        <x:v>Prototype Ready</x:v>
      </x:c>
      <x:c r="B23" s="69" t="n">
        <x:f>SUM(COUNTIF('Animations'!H5:H429,"Prototype Ready"),COUNTIF('Models-Rig-Physics'!H5:H55,"Prototype Ready"),COUNTIF('Textures-Materials'!H5:H74,"Prototype Ready"),COUNTIF('UI-Icons'!H5:H60,"Prototype Ready"),COUNTIF('Audio-VO'!H5:H105,"Prototype Ready"),COUNTIF('VFX-Gameplay'!H5:H46,"Prototype Ready"),COUNTIF('Export-Specs'!H5:H48,"Prototype Ready"),COUNTIF('Source-Map'!H5:H38,"Prototype Ready"))</x:f>
        <x:v>1</x:v>
      </x:c>
      <x:c r="C23" s="72" t="n">
        <x:f>IFERROR(B23/$B$27,0)</x:f>
        <x:v>0.001215066828675577</x:v>
      </x:c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</x:row>
    <x:row r="24" ht="24" customHeight="1">
      <x:c r="A24" s="69" t="str">
        <x:v>Blocked</x:v>
      </x:c>
      <x:c r="B24" s="69" t="n">
        <x:f>SUM(COUNTIF('Animations'!H5:H429,"Blocked"),COUNTIF('Models-Rig-Physics'!H5:H55,"Blocked"),COUNTIF('Textures-Materials'!H5:H74,"Blocked"),COUNTIF('UI-Icons'!H5:H60,"Blocked"),COUNTIF('Audio-VO'!H5:H105,"Blocked"),COUNTIF('VFX-Gameplay'!H5:H46,"Blocked"),COUNTIF('Export-Specs'!H5:H48,"Blocked"),COUNTIF('Source-Map'!H5:H38,"Blocked"))</x:f>
        <x:v>0</x:v>
      </x:c>
      <x:c r="C24" s="72" t="n">
        <x:f>IFERROR(B24/$B$27,0)</x:f>
        <x:v>0</x:v>
      </x:c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</x:row>
    <x:row r="25" ht="24" customHeight="1">
      <x:c r="A25" s="69" t="str">
        <x:v>Complete</x:v>
      </x:c>
      <x:c r="B25" s="69" t="n">
        <x:f>SUM(COUNTIF('Animations'!H5:H429,"Complete"),COUNTIF('Models-Rig-Physics'!H5:H55,"Complete"),COUNTIF('Textures-Materials'!H5:H74,"Complete"),COUNTIF('UI-Icons'!H5:H60,"Complete"),COUNTIF('Audio-VO'!H5:H105,"Complete"),COUNTIF('VFX-Gameplay'!H5:H46,"Complete"),COUNTIF('Export-Specs'!H5:H48,"Complete"),COUNTIF('Source-Map'!H5:H38,"Complete"))</x:f>
        <x:v>34</x:v>
      </x:c>
      <x:c r="C25" s="72" t="n">
        <x:f>IFERROR(B25/$B$27,0)</x:f>
        <x:v>0.041312272174969626</x:v>
      </x:c>
    </x:row>
    <x:row r="26" ht="24" customHeight="1">
      <x:c r="A26" s="69" t="str">
        <x:v>Not Applicable</x:v>
      </x:c>
      <x:c r="B26" s="69" t="n">
        <x:f>SUM(COUNTIF('Animations'!H5:H429,"Not Applicable"),COUNTIF('Models-Rig-Physics'!H5:H55,"Not Applicable"),COUNTIF('Textures-Materials'!H5:H74,"Not Applicable"),COUNTIF('UI-Icons'!H5:H60,"Not Applicable"),COUNTIF('Audio-VO'!H5:H105,"Not Applicable"),COUNTIF('VFX-Gameplay'!H5:H46,"Not Applicable"),COUNTIF('Export-Specs'!H5:H48,"Not Applicable"),COUNTIF('Source-Map'!H5:H38,"Not Applicable"))</x:f>
        <x:v>0</x:v>
      </x:c>
      <x:c r="C26" s="72" t="n">
        <x:f>IFERROR(B26/$B$27,0)</x:f>
        <x:v>0</x:v>
      </x:c>
    </x:row>
    <x:row r="27" ht="24" customHeight="1">
      <x:c r="A27" s="78" t="str">
        <x:v>Total</x:v>
      </x:c>
      <x:c r="B27" s="78" t="n">
        <x:f>SUM(COUNTA('Animations'!A5:A429),COUNTA('Models-Rig-Physics'!A5:A55),COUNTA('Textures-Materials'!A5:A74),COUNTA('UI-Icons'!A5:A60),COUNTA('Audio-VO'!A5:A105),COUNTA('VFX-Gameplay'!A5:A46),COUNTA('Export-Specs'!A5:A48),COUNTA('Source-Map'!A5:A38))</x:f>
        <x:v>823</x:v>
      </x:c>
      <x:c r="C27" s="79" t="n">
        <x:f>IFERROR(SUM(C20:C26),0)</x:f>
        <x:v>0.9999999999999999</x:v>
      </x:c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M4:N4"/>
    <x:mergeCell ref="M5:N6"/>
    <x:mergeCell ref="E20:N20"/>
    <x:mergeCell ref="E21:N24"/>
  </x:mergeCells>
  <x:pageMargins left="0.7" right="0.7" top="0.75" bottom="0.75" header="0.3" footer="0.3"/>
  <x:drawing xmlns:r="http://schemas.openxmlformats.org/officeDocument/2006/relationships" r:id="Rabe82396ab0a43e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6" hidden="0" customWidth="1"/>
    <x:col min="5" max="5" width="25" hidden="0" customWidth="1"/>
    <x:col min="6" max="6" width="14" hidden="0" customWidth="1"/>
    <x:col min="7" max="7" width="12" hidden="0" customWidth="1"/>
    <x:col min="8" max="8" width="19" hidden="0" customWidth="1"/>
    <x:col min="9" max="9" width="20" hidden="0" customWidth="1"/>
    <x:col min="10" max="10" width="31" hidden="0" customWidth="1"/>
    <x:col min="11" max="11" width="58" hidden="0" customWidth="1"/>
    <x:col min="12" max="12" width="58" hidden="0" customWidth="1"/>
    <x:col min="13" max="13" width="44" hidden="0" customWidth="1"/>
  </x:cols>
  <x:sheetData>
    <x:row r="1" ht="34" customHeight="1">
      <x:c r="A1" s="3" t="str">
        <x:v>Animation Checklist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Authoring inventory for first person, third person, locomotion, combat, traversal, incapacitation, interaction, and career presentation.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ID</x:v>
      </x:c>
      <x:c r="B4" s="12" t="str">
        <x:v>Workstream</x:v>
      </x:c>
      <x:c r="C4" s="12" t="str">
        <x:v>Asset / Motion</x:v>
      </x:c>
      <x:c r="D4" s="12" t="str">
        <x:v>Perspective</x:v>
      </x:c>
      <x:c r="E4" s="12" t="str">
        <x:v>Variant / Direction</x:v>
      </x:c>
      <x:c r="F4" s="12" t="str">
        <x:v>Requirement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Deliverable / Format</x:v>
      </x:c>
      <x:c r="K4" s="12" t="str">
        <x:v>Acceptance Criteria</x:v>
      </x:c>
      <x:c r="L4" s="12" t="str">
        <x:v>VT2 Source Reference</x:v>
      </x:c>
      <x:c r="M4" s="12" t="str">
        <x:v>Notes</x:v>
      </x:c>
    </x:row>
    <x:row r="5" ht="46" customHeight="1">
      <x:c r="A5" s="23" t="str">
        <x:v>ANIM-001</x:v>
      </x:c>
      <x:c r="B5" s="20" t="str">
        <x:v>Core locomotion</x:v>
      </x:c>
      <x:c r="C5" s="20" t="str">
        <x:v>Neutral idle loop</x:v>
      </x:c>
      <x:c r="D5" s="20" t="str">
        <x:v>Third person</x:v>
      </x:c>
      <x:c r="E5" s="20" t="str">
        <x:v>Standing</x:v>
      </x:c>
      <x:c r="F5" s="26" t="str">
        <x:v>Required</x:v>
      </x:c>
      <x:c r="G5" s="26" t="str">
        <x:v>P0</x:v>
      </x:c>
      <x:c r="H5" s="26" t="str">
        <x:v>Not Started</x:v>
      </x:c>
      <x:c r="I5" s="26" t="str">
        <x:v>Janfon</x:v>
      </x:c>
      <x:c r="J5" s="20" t="str">
        <x:v>Looping FBX clip</x:v>
      </x:c>
      <x:c r="K5" s="20" t="str">
        <x:v>Loops without a visible pop; root stays planted; hands and tail remain stable.</x:v>
      </x:c>
      <x:c r="L5" s="20" t="str">
        <x:v>SRC-001: scripts/unit_extensions/default_player_unit/states/; SRC-002: scripts/unit_extensions/default_player_unit/player_unit_first_person.lua</x:v>
      </x:c>
      <x:c r="M5" s="20" t="str">
        <x:v>Provide at least two subtle variants to reduce repetition.</x:v>
      </x:c>
    </x:row>
    <x:row r="6" ht="46" customHeight="1">
      <x:c r="A6" s="24" t="str">
        <x:v>ANIM-002</x:v>
      </x:c>
      <x:c r="B6" s="21" t="str">
        <x:v>Core locomotion</x:v>
      </x:c>
      <x:c r="C6" s="21" t="str">
        <x:v>Alert/combat idle loop</x:v>
      </x:c>
      <x:c r="D6" s="21" t="str">
        <x:v>Third person</x:v>
      </x:c>
      <x:c r="E6" s="21" t="str">
        <x:v>Weapon-ready</x:v>
      </x:c>
      <x:c r="F6" s="27" t="str">
        <x:v>Required</x:v>
      </x:c>
      <x:c r="G6" s="27" t="str">
        <x:v>P0</x:v>
      </x:c>
      <x:c r="H6" s="27" t="str">
        <x:v>Not Started</x:v>
      </x:c>
      <x:c r="I6" s="27" t="str">
        <x:v>Janfon</x:v>
      </x:c>
      <x:c r="J6" s="21" t="str">
        <x:v>Looping FBX clip</x:v>
      </x:c>
      <x:c r="K6" s="21" t="str">
        <x:v>Matches ready stance and blends cleanly into attacks, block, walk, and dodge.</x:v>
      </x:c>
      <x:c r="L6" s="21" t="str">
        <x:v>SRC-001: scripts/unit_extensions/default_player_unit/states/; SRC-009: scripts/settings/equipment/weapon_templates/</x:v>
      </x:c>
      <x:c r="M6" s="21" t="str"/>
    </x:row>
    <x:row r="7" ht="46" customHeight="1">
      <x:c r="A7" s="24" t="str">
        <x:v>ANIM-003</x:v>
      </x:c>
      <x:c r="B7" s="21" t="str">
        <x:v>Core locomotion</x:v>
      </x:c>
      <x:c r="C7" s="21" t="str">
        <x:v>Idle variation</x:v>
      </x:c>
      <x:c r="D7" s="21" t="str">
        <x:v>Third person</x:v>
      </x:c>
      <x:c r="E7" s="21" t="str">
        <x:v>Look / sniff / fidget</x:v>
      </x:c>
      <x:c r="F7" s="27" t="str">
        <x:v>Optional</x:v>
      </x:c>
      <x:c r="G7" s="27" t="str">
        <x:v>P2</x:v>
      </x:c>
      <x:c r="H7" s="27" t="str">
        <x:v>Not Started</x:v>
      </x:c>
      <x:c r="I7" s="27" t="str">
        <x:v>Janfon</x:v>
      </x:c>
      <x:c r="J7" s="21" t="str">
        <x:v>3 additive or full-body clips</x:v>
      </x:c>
      <x:c r="K7" s="21" t="str">
        <x:v>No locomotion root motion; safe to interrupt at authored exit markers.</x:v>
      </x:c>
      <x:c r="L7" s="21" t="str">
        <x:v>SRC-004: scripts/settings/profiles/career_settings.lua; SRC-011: scripts/ui/views/hero_view/</x:v>
      </x:c>
      <x:c r="M7" s="21" t="str"/>
    </x:row>
    <x:row r="8" ht="46" customHeight="1">
      <x:c r="A8" s="24" t="str">
        <x:v>ANIM-004</x:v>
      </x:c>
      <x:c r="B8" s="21" t="str">
        <x:v>Core locomotion</x:v>
      </x:c>
      <x:c r="C8" s="21" t="str">
        <x:v>Walk cycle</x:v>
      </x:c>
      <x:c r="D8" s="21" t="str">
        <x:v>Third person</x:v>
      </x:c>
      <x:c r="E8" s="21" t="str">
        <x:v>Forward</x:v>
      </x:c>
      <x:c r="F8" s="27" t="str">
        <x:v>Required</x:v>
      </x:c>
      <x:c r="G8" s="27" t="str">
        <x:v>P1</x:v>
      </x:c>
      <x:c r="H8" s="27" t="str">
        <x:v>Not Started</x:v>
      </x:c>
      <x:c r="I8" s="27" t="str">
        <x:v>Janfon</x:v>
      </x:c>
      <x:c r="J8" s="21" t="str">
        <x:v>Looping FBX clip</x:v>
      </x:c>
      <x:c r="K8" s="21" t="str">
        <x:v>Direction reads clearly at gameplay distance; foot contacts do not slide; cycle blends with adjacent walk directions.</x:v>
      </x:c>
      <x:c r="L8" s="21" t="str">
        <x:v>SRC-001: scripts/unit_extensions/default_player_unit/states/; SRC-015: scripts/helpers/locomotion_utils.lua</x:v>
      </x:c>
      <x:c r="M8" s="21" t="str"/>
    </x:row>
    <x:row r="9" ht="46" customHeight="1">
      <x:c r="A9" s="24" t="str">
        <x:v>ANIM-005</x:v>
      </x:c>
      <x:c r="B9" s="21" t="str">
        <x:v>Core locomotion</x:v>
      </x:c>
      <x:c r="C9" s="21" t="str">
        <x:v>Walk cycle</x:v>
      </x:c>
      <x:c r="D9" s="21" t="str">
        <x:v>Third person</x:v>
      </x:c>
      <x:c r="E9" s="21" t="str">
        <x:v>Forward-left</x:v>
      </x:c>
      <x:c r="F9" s="27" t="str">
        <x:v>Required</x:v>
      </x:c>
      <x:c r="G9" s="27" t="str">
        <x:v>P1</x:v>
      </x:c>
      <x:c r="H9" s="27" t="str">
        <x:v>Not Started</x:v>
      </x:c>
      <x:c r="I9" s="27" t="str">
        <x:v>Janfon</x:v>
      </x:c>
      <x:c r="J9" s="21" t="str">
        <x:v>Looping FBX clip</x:v>
      </x:c>
      <x:c r="K9" s="21" t="str">
        <x:v>Direction reads clearly at gameplay distance; foot contacts do not slide; cycle blends with adjacent walk directions.</x:v>
      </x:c>
      <x:c r="L9" s="21" t="str">
        <x:v>SRC-001: scripts/unit_extensions/default_player_unit/states/; SRC-015: scripts/helpers/locomotion_utils.lua</x:v>
      </x:c>
      <x:c r="M9" s="21" t="str"/>
    </x:row>
    <x:row r="10" ht="46" customHeight="1">
      <x:c r="A10" s="24" t="str">
        <x:v>ANIM-006</x:v>
      </x:c>
      <x:c r="B10" s="21" t="str">
        <x:v>Core locomotion</x:v>
      </x:c>
      <x:c r="C10" s="21" t="str">
        <x:v>Walk cycle</x:v>
      </x:c>
      <x:c r="D10" s="21" t="str">
        <x:v>Third person</x:v>
      </x:c>
      <x:c r="E10" s="21" t="str">
        <x:v>Left</x:v>
      </x:c>
      <x:c r="F10" s="27" t="str">
        <x:v>Required</x:v>
      </x:c>
      <x:c r="G10" s="27" t="str">
        <x:v>P1</x:v>
      </x:c>
      <x:c r="H10" s="27" t="str">
        <x:v>Not Started</x:v>
      </x:c>
      <x:c r="I10" s="27" t="str">
        <x:v>Janfon</x:v>
      </x:c>
      <x:c r="J10" s="21" t="str">
        <x:v>Looping FBX clip</x:v>
      </x:c>
      <x:c r="K10" s="21" t="str">
        <x:v>Direction reads clearly at gameplay distance; foot contacts do not slide; cycle blends with adjacent walk directions.</x:v>
      </x:c>
      <x:c r="L10" s="21" t="str">
        <x:v>SRC-001: scripts/unit_extensions/default_player_unit/states/; SRC-015: scripts/helpers/locomotion_utils.lua</x:v>
      </x:c>
      <x:c r="M10" s="21" t="str"/>
    </x:row>
    <x:row r="11" ht="46" customHeight="1">
      <x:c r="A11" s="24" t="str">
        <x:v>ANIM-007</x:v>
      </x:c>
      <x:c r="B11" s="21" t="str">
        <x:v>Core locomotion</x:v>
      </x:c>
      <x:c r="C11" s="21" t="str">
        <x:v>Walk cycle</x:v>
      </x:c>
      <x:c r="D11" s="21" t="str">
        <x:v>Third person</x:v>
      </x:c>
      <x:c r="E11" s="21" t="str">
        <x:v>Back-left</x:v>
      </x:c>
      <x:c r="F11" s="27" t="str">
        <x:v>Required</x:v>
      </x:c>
      <x:c r="G11" s="27" t="str">
        <x:v>P1</x:v>
      </x:c>
      <x:c r="H11" s="27" t="str">
        <x:v>Not Started</x:v>
      </x:c>
      <x:c r="I11" s="27" t="str">
        <x:v>Janfon</x:v>
      </x:c>
      <x:c r="J11" s="21" t="str">
        <x:v>Looping FBX clip</x:v>
      </x:c>
      <x:c r="K11" s="21" t="str">
        <x:v>Direction reads clearly at gameplay distance; foot contacts do not slide; cycle blends with adjacent walk directions.</x:v>
      </x:c>
      <x:c r="L11" s="21" t="str">
        <x:v>SRC-001: scripts/unit_extensions/default_player_unit/states/; SRC-015: scripts/helpers/locomotion_utils.lua</x:v>
      </x:c>
      <x:c r="M11" s="21" t="str"/>
    </x:row>
    <x:row r="12" ht="46" customHeight="1">
      <x:c r="A12" s="24" t="str">
        <x:v>ANIM-008</x:v>
      </x:c>
      <x:c r="B12" s="21" t="str">
        <x:v>Core locomotion</x:v>
      </x:c>
      <x:c r="C12" s="21" t="str">
        <x:v>Walk cycle</x:v>
      </x:c>
      <x:c r="D12" s="21" t="str">
        <x:v>Third person</x:v>
      </x:c>
      <x:c r="E12" s="21" t="str">
        <x:v>Backward</x:v>
      </x:c>
      <x:c r="F12" s="27" t="str">
        <x:v>Required</x:v>
      </x:c>
      <x:c r="G12" s="27" t="str">
        <x:v>P1</x:v>
      </x:c>
      <x:c r="H12" s="27" t="str">
        <x:v>Not Started</x:v>
      </x:c>
      <x:c r="I12" s="27" t="str">
        <x:v>Janfon</x:v>
      </x:c>
      <x:c r="J12" s="21" t="str">
        <x:v>Looping FBX clip</x:v>
      </x:c>
      <x:c r="K12" s="21" t="str">
        <x:v>Direction reads clearly at gameplay distance; foot contacts do not slide; cycle blends with adjacent walk directions.</x:v>
      </x:c>
      <x:c r="L12" s="21" t="str">
        <x:v>SRC-001: scripts/unit_extensions/default_player_unit/states/; SRC-015: scripts/helpers/locomotion_utils.lua</x:v>
      </x:c>
      <x:c r="M12" s="21" t="str"/>
    </x:row>
    <x:row r="13" ht="46" customHeight="1">
      <x:c r="A13" s="24" t="str">
        <x:v>ANIM-009</x:v>
      </x:c>
      <x:c r="B13" s="21" t="str">
        <x:v>Core locomotion</x:v>
      </x:c>
      <x:c r="C13" s="21" t="str">
        <x:v>Walk cycle</x:v>
      </x:c>
      <x:c r="D13" s="21" t="str">
        <x:v>Third person</x:v>
      </x:c>
      <x:c r="E13" s="21" t="str">
        <x:v>Back-right</x:v>
      </x:c>
      <x:c r="F13" s="27" t="str">
        <x:v>Required</x:v>
      </x:c>
      <x:c r="G13" s="27" t="str">
        <x:v>P1</x:v>
      </x:c>
      <x:c r="H13" s="27" t="str">
        <x:v>Not Started</x:v>
      </x:c>
      <x:c r="I13" s="27" t="str">
        <x:v>Janfon</x:v>
      </x:c>
      <x:c r="J13" s="21" t="str">
        <x:v>Looping FBX clip</x:v>
      </x:c>
      <x:c r="K13" s="21" t="str">
        <x:v>Direction reads clearly at gameplay distance; foot contacts do not slide; cycle blends with adjacent walk directions.</x:v>
      </x:c>
      <x:c r="L13" s="21" t="str">
        <x:v>SRC-001: scripts/unit_extensions/default_player_unit/states/; SRC-015: scripts/helpers/locomotion_utils.lua</x:v>
      </x:c>
      <x:c r="M13" s="21" t="str"/>
    </x:row>
    <x:row r="14" ht="46" customHeight="1">
      <x:c r="A14" s="24" t="str">
        <x:v>ANIM-010</x:v>
      </x:c>
      <x:c r="B14" s="21" t="str">
        <x:v>Core locomotion</x:v>
      </x:c>
      <x:c r="C14" s="21" t="str">
        <x:v>Walk cycle</x:v>
      </x:c>
      <x:c r="D14" s="21" t="str">
        <x:v>Third person</x:v>
      </x:c>
      <x:c r="E14" s="21" t="str">
        <x:v>Right</x:v>
      </x:c>
      <x:c r="F14" s="27" t="str">
        <x:v>Required</x:v>
      </x:c>
      <x:c r="G14" s="27" t="str">
        <x:v>P1</x:v>
      </x:c>
      <x:c r="H14" s="27" t="str">
        <x:v>Not Started</x:v>
      </x:c>
      <x:c r="I14" s="27" t="str">
        <x:v>Janfon</x:v>
      </x:c>
      <x:c r="J14" s="21" t="str">
        <x:v>Looping FBX clip</x:v>
      </x:c>
      <x:c r="K14" s="21" t="str">
        <x:v>Direction reads clearly at gameplay distance; foot contacts do not slide; cycle blends with adjacent walk directions.</x:v>
      </x:c>
      <x:c r="L14" s="21" t="str">
        <x:v>SRC-001: scripts/unit_extensions/default_player_unit/states/; SRC-015: scripts/helpers/locomotion_utils.lua</x:v>
      </x:c>
      <x:c r="M14" s="21" t="str"/>
    </x:row>
    <x:row r="15" ht="46" customHeight="1">
      <x:c r="A15" s="24" t="str">
        <x:v>ANIM-011</x:v>
      </x:c>
      <x:c r="B15" s="21" t="str">
        <x:v>Core locomotion</x:v>
      </x:c>
      <x:c r="C15" s="21" t="str">
        <x:v>Walk cycle</x:v>
      </x:c>
      <x:c r="D15" s="21" t="str">
        <x:v>Third person</x:v>
      </x:c>
      <x:c r="E15" s="21" t="str">
        <x:v>Forward-right</x:v>
      </x:c>
      <x:c r="F15" s="27" t="str">
        <x:v>Required</x:v>
      </x:c>
      <x:c r="G15" s="27" t="str">
        <x:v>P1</x:v>
      </x:c>
      <x:c r="H15" s="27" t="str">
        <x:v>Not Started</x:v>
      </x:c>
      <x:c r="I15" s="27" t="str">
        <x:v>Janfon</x:v>
      </x:c>
      <x:c r="J15" s="21" t="str">
        <x:v>Looping FBX clip</x:v>
      </x:c>
      <x:c r="K15" s="21" t="str">
        <x:v>Direction reads clearly at gameplay distance; foot contacts do not slide; cycle blends with adjacent walk directions.</x:v>
      </x:c>
      <x:c r="L15" s="21" t="str">
        <x:v>SRC-001: scripts/unit_extensions/default_player_unit/states/; SRC-015: scripts/helpers/locomotion_utils.lua</x:v>
      </x:c>
      <x:c r="M15" s="21" t="str"/>
    </x:row>
    <x:row r="16" ht="46" customHeight="1">
      <x:c r="A16" s="24" t="str">
        <x:v>ANIM-012</x:v>
      </x:c>
      <x:c r="B16" s="21" t="str">
        <x:v>Core locomotion</x:v>
      </x:c>
      <x:c r="C16" s="21" t="str">
        <x:v>Run cycle</x:v>
      </x:c>
      <x:c r="D16" s="21" t="str">
        <x:v>Third person</x:v>
      </x:c>
      <x:c r="E16" s="21" t="str">
        <x:v>Forward</x:v>
      </x:c>
      <x:c r="F16" s="27" t="str">
        <x:v>Required</x:v>
      </x:c>
      <x:c r="G16" s="27" t="str">
        <x:v>P0</x:v>
      </x:c>
      <x:c r="H16" s="27" t="str">
        <x:v>Not Started</x:v>
      </x:c>
      <x:c r="I16" s="27" t="str">
        <x:v>Janfon</x:v>
      </x:c>
      <x:c r="J16" s="21" t="str">
        <x:v>Looping FBX clip</x:v>
      </x:c>
      <x:c r="K16" s="21" t="str">
        <x:v>Direction reads clearly at gameplay distance; foot contacts do not slide; cycle blends with adjacent run directions.</x:v>
      </x:c>
      <x:c r="L16" s="21" t="str">
        <x:v>SRC-001: scripts/unit_extensions/default_player_unit/states/; SRC-015: scripts/helpers/locomotion_utils.lua</x:v>
      </x:c>
      <x:c r="M16" s="21" t="str"/>
    </x:row>
    <x:row r="17" ht="46" customHeight="1">
      <x:c r="A17" s="24" t="str">
        <x:v>ANIM-013</x:v>
      </x:c>
      <x:c r="B17" s="21" t="str">
        <x:v>Core locomotion</x:v>
      </x:c>
      <x:c r="C17" s="21" t="str">
        <x:v>Run cycle</x:v>
      </x:c>
      <x:c r="D17" s="21" t="str">
        <x:v>Third person</x:v>
      </x:c>
      <x:c r="E17" s="21" t="str">
        <x:v>Forward-left</x:v>
      </x:c>
      <x:c r="F17" s="27" t="str">
        <x:v>Required</x:v>
      </x:c>
      <x:c r="G17" s="27" t="str">
        <x:v>P0</x:v>
      </x:c>
      <x:c r="H17" s="27" t="str">
        <x:v>Not Started</x:v>
      </x:c>
      <x:c r="I17" s="27" t="str">
        <x:v>Janfon</x:v>
      </x:c>
      <x:c r="J17" s="21" t="str">
        <x:v>Looping FBX clip</x:v>
      </x:c>
      <x:c r="K17" s="21" t="str">
        <x:v>Direction reads clearly at gameplay distance; foot contacts do not slide; cycle blends with adjacent run directions.</x:v>
      </x:c>
      <x:c r="L17" s="21" t="str">
        <x:v>SRC-001: scripts/unit_extensions/default_player_unit/states/; SRC-015: scripts/helpers/locomotion_utils.lua</x:v>
      </x:c>
      <x:c r="M17" s="21" t="str"/>
    </x:row>
    <x:row r="18" ht="46" customHeight="1">
      <x:c r="A18" s="24" t="str">
        <x:v>ANIM-014</x:v>
      </x:c>
      <x:c r="B18" s="21" t="str">
        <x:v>Core locomotion</x:v>
      </x:c>
      <x:c r="C18" s="21" t="str">
        <x:v>Run cycle</x:v>
      </x:c>
      <x:c r="D18" s="21" t="str">
        <x:v>Third person</x:v>
      </x:c>
      <x:c r="E18" s="21" t="str">
        <x:v>Left</x:v>
      </x:c>
      <x:c r="F18" s="27" t="str">
        <x:v>Required</x:v>
      </x:c>
      <x:c r="G18" s="27" t="str">
        <x:v>P0</x:v>
      </x:c>
      <x:c r="H18" s="27" t="str">
        <x:v>Not Started</x:v>
      </x:c>
      <x:c r="I18" s="27" t="str">
        <x:v>Janfon</x:v>
      </x:c>
      <x:c r="J18" s="21" t="str">
        <x:v>Looping FBX clip</x:v>
      </x:c>
      <x:c r="K18" s="21" t="str">
        <x:v>Direction reads clearly at gameplay distance; foot contacts do not slide; cycle blends with adjacent run directions.</x:v>
      </x:c>
      <x:c r="L18" s="21" t="str">
        <x:v>SRC-001: scripts/unit_extensions/default_player_unit/states/; SRC-015: scripts/helpers/locomotion_utils.lua</x:v>
      </x:c>
      <x:c r="M18" s="21" t="str"/>
    </x:row>
    <x:row r="19" ht="46" customHeight="1">
      <x:c r="A19" s="24" t="str">
        <x:v>ANIM-015</x:v>
      </x:c>
      <x:c r="B19" s="21" t="str">
        <x:v>Core locomotion</x:v>
      </x:c>
      <x:c r="C19" s="21" t="str">
        <x:v>Run cycle</x:v>
      </x:c>
      <x:c r="D19" s="21" t="str">
        <x:v>Third person</x:v>
      </x:c>
      <x:c r="E19" s="21" t="str">
        <x:v>Back-left</x:v>
      </x:c>
      <x:c r="F19" s="27" t="str">
        <x:v>Required</x:v>
      </x:c>
      <x:c r="G19" s="27" t="str">
        <x:v>P0</x:v>
      </x:c>
      <x:c r="H19" s="27" t="str">
        <x:v>Not Started</x:v>
      </x:c>
      <x:c r="I19" s="27" t="str">
        <x:v>Janfon</x:v>
      </x:c>
      <x:c r="J19" s="21" t="str">
        <x:v>Looping FBX clip</x:v>
      </x:c>
      <x:c r="K19" s="21" t="str">
        <x:v>Direction reads clearly at gameplay distance; foot contacts do not slide; cycle blends with adjacent run directions.</x:v>
      </x:c>
      <x:c r="L19" s="21" t="str">
        <x:v>SRC-001: scripts/unit_extensions/default_player_unit/states/; SRC-015: scripts/helpers/locomotion_utils.lua</x:v>
      </x:c>
      <x:c r="M19" s="21" t="str"/>
    </x:row>
    <x:row r="20" ht="46" customHeight="1">
      <x:c r="A20" s="24" t="str">
        <x:v>ANIM-016</x:v>
      </x:c>
      <x:c r="B20" s="21" t="str">
        <x:v>Core locomotion</x:v>
      </x:c>
      <x:c r="C20" s="21" t="str">
        <x:v>Run cycle</x:v>
      </x:c>
      <x:c r="D20" s="21" t="str">
        <x:v>Third person</x:v>
      </x:c>
      <x:c r="E20" s="21" t="str">
        <x:v>Backward</x:v>
      </x:c>
      <x:c r="F20" s="27" t="str">
        <x:v>Required</x:v>
      </x:c>
      <x:c r="G20" s="27" t="str">
        <x:v>P0</x:v>
      </x:c>
      <x:c r="H20" s="27" t="str">
        <x:v>Not Started</x:v>
      </x:c>
      <x:c r="I20" s="27" t="str">
        <x:v>Janfon</x:v>
      </x:c>
      <x:c r="J20" s="21" t="str">
        <x:v>Looping FBX clip</x:v>
      </x:c>
      <x:c r="K20" s="21" t="str">
        <x:v>Direction reads clearly at gameplay distance; foot contacts do not slide; cycle blends with adjacent run directions.</x:v>
      </x:c>
      <x:c r="L20" s="21" t="str">
        <x:v>SRC-001: scripts/unit_extensions/default_player_unit/states/; SRC-015: scripts/helpers/locomotion_utils.lua</x:v>
      </x:c>
      <x:c r="M20" s="21" t="str"/>
    </x:row>
    <x:row r="21" ht="46" customHeight="1">
      <x:c r="A21" s="24" t="str">
        <x:v>ANIM-017</x:v>
      </x:c>
      <x:c r="B21" s="21" t="str">
        <x:v>Core locomotion</x:v>
      </x:c>
      <x:c r="C21" s="21" t="str">
        <x:v>Run cycle</x:v>
      </x:c>
      <x:c r="D21" s="21" t="str">
        <x:v>Third person</x:v>
      </x:c>
      <x:c r="E21" s="21" t="str">
        <x:v>Back-right</x:v>
      </x:c>
      <x:c r="F21" s="27" t="str">
        <x:v>Required</x:v>
      </x:c>
      <x:c r="G21" s="27" t="str">
        <x:v>P0</x:v>
      </x:c>
      <x:c r="H21" s="27" t="str">
        <x:v>Not Started</x:v>
      </x:c>
      <x:c r="I21" s="27" t="str">
        <x:v>Janfon</x:v>
      </x:c>
      <x:c r="J21" s="21" t="str">
        <x:v>Looping FBX clip</x:v>
      </x:c>
      <x:c r="K21" s="21" t="str">
        <x:v>Direction reads clearly at gameplay distance; foot contacts do not slide; cycle blends with adjacent run directions.</x:v>
      </x:c>
      <x:c r="L21" s="21" t="str">
        <x:v>SRC-001: scripts/unit_extensions/default_player_unit/states/; SRC-015: scripts/helpers/locomotion_utils.lua</x:v>
      </x:c>
      <x:c r="M21" s="21" t="str"/>
    </x:row>
    <x:row r="22" ht="46" customHeight="1">
      <x:c r="A22" s="24" t="str">
        <x:v>ANIM-018</x:v>
      </x:c>
      <x:c r="B22" s="21" t="str">
        <x:v>Core locomotion</x:v>
      </x:c>
      <x:c r="C22" s="21" t="str">
        <x:v>Run cycle</x:v>
      </x:c>
      <x:c r="D22" s="21" t="str">
        <x:v>Third person</x:v>
      </x:c>
      <x:c r="E22" s="21" t="str">
        <x:v>Right</x:v>
      </x:c>
      <x:c r="F22" s="27" t="str">
        <x:v>Required</x:v>
      </x:c>
      <x:c r="G22" s="27" t="str">
        <x:v>P0</x:v>
      </x:c>
      <x:c r="H22" s="27" t="str">
        <x:v>Not Started</x:v>
      </x:c>
      <x:c r="I22" s="27" t="str">
        <x:v>Janfon</x:v>
      </x:c>
      <x:c r="J22" s="21" t="str">
        <x:v>Looping FBX clip</x:v>
      </x:c>
      <x:c r="K22" s="21" t="str">
        <x:v>Direction reads clearly at gameplay distance; foot contacts do not slide; cycle blends with adjacent run directions.</x:v>
      </x:c>
      <x:c r="L22" s="21" t="str">
        <x:v>SRC-001: scripts/unit_extensions/default_player_unit/states/; SRC-015: scripts/helpers/locomotion_utils.lua</x:v>
      </x:c>
      <x:c r="M22" s="21" t="str"/>
    </x:row>
    <x:row r="23" ht="46" customHeight="1">
      <x:c r="A23" s="24" t="str">
        <x:v>ANIM-019</x:v>
      </x:c>
      <x:c r="B23" s="21" t="str">
        <x:v>Core locomotion</x:v>
      </x:c>
      <x:c r="C23" s="21" t="str">
        <x:v>Run cycle</x:v>
      </x:c>
      <x:c r="D23" s="21" t="str">
        <x:v>Third person</x:v>
      </x:c>
      <x:c r="E23" s="21" t="str">
        <x:v>Forward-right</x:v>
      </x:c>
      <x:c r="F23" s="27" t="str">
        <x:v>Required</x:v>
      </x:c>
      <x:c r="G23" s="27" t="str">
        <x:v>P0</x:v>
      </x:c>
      <x:c r="H23" s="27" t="str">
        <x:v>Not Started</x:v>
      </x:c>
      <x:c r="I23" s="27" t="str">
        <x:v>Janfon</x:v>
      </x:c>
      <x:c r="J23" s="21" t="str">
        <x:v>Looping FBX clip</x:v>
      </x:c>
      <x:c r="K23" s="21" t="str">
        <x:v>Direction reads clearly at gameplay distance; foot contacts do not slide; cycle blends with adjacent run directions.</x:v>
      </x:c>
      <x:c r="L23" s="21" t="str">
        <x:v>SRC-001: scripts/unit_extensions/default_player_unit/states/; SRC-015: scripts/helpers/locomotion_utils.lua</x:v>
      </x:c>
      <x:c r="M23" s="21" t="str"/>
    </x:row>
    <x:row r="24" ht="46" customHeight="1">
      <x:c r="A24" s="24" t="str">
        <x:v>ANIM-020</x:v>
      </x:c>
      <x:c r="B24" s="21" t="str">
        <x:v>Core locomotion</x:v>
      </x:c>
      <x:c r="C24" s="21" t="str">
        <x:v>Crouch walk cycle</x:v>
      </x:c>
      <x:c r="D24" s="21" t="str">
        <x:v>Third person</x:v>
      </x:c>
      <x:c r="E24" s="21" t="str">
        <x:v>Forward</x:v>
      </x:c>
      <x:c r="F24" s="27" t="str">
        <x:v>Conditional</x:v>
      </x:c>
      <x:c r="G24" s="27" t="str">
        <x:v>P1</x:v>
      </x:c>
      <x:c r="H24" s="27" t="str">
        <x:v>Not Started</x:v>
      </x:c>
      <x:c r="I24" s="27" t="str">
        <x:v>Janfon</x:v>
      </x:c>
      <x:c r="J24" s="21" t="str">
        <x:v>Looping FBX clip</x:v>
      </x:c>
      <x:c r="K24" s="21" t="str">
        <x:v>Direction reads clearly at gameplay distance; foot contacts do not slide; cycle blends with adjacent crouch walk directions.</x:v>
      </x:c>
      <x:c r="L24" s="21" t="str">
        <x:v>SRC-001: scripts/unit_extensions/default_player_unit/states/; SRC-015: scripts/helpers/locomotion_utils.lua</x:v>
      </x:c>
      <x:c r="M24" s="21" t="str"/>
    </x:row>
    <x:row r="25" ht="46" customHeight="1">
      <x:c r="A25" s="24" t="str">
        <x:v>ANIM-021</x:v>
      </x:c>
      <x:c r="B25" s="21" t="str">
        <x:v>Core locomotion</x:v>
      </x:c>
      <x:c r="C25" s="21" t="str">
        <x:v>Crouch walk cycle</x:v>
      </x:c>
      <x:c r="D25" s="21" t="str">
        <x:v>Third person</x:v>
      </x:c>
      <x:c r="E25" s="21" t="str">
        <x:v>Forward-left</x:v>
      </x:c>
      <x:c r="F25" s="27" t="str">
        <x:v>Conditional</x:v>
      </x:c>
      <x:c r="G25" s="27" t="str">
        <x:v>P1</x:v>
      </x:c>
      <x:c r="H25" s="27" t="str">
        <x:v>Not Started</x:v>
      </x:c>
      <x:c r="I25" s="27" t="str">
        <x:v>Janfon</x:v>
      </x:c>
      <x:c r="J25" s="21" t="str">
        <x:v>Looping FBX clip</x:v>
      </x:c>
      <x:c r="K25" s="21" t="str">
        <x:v>Direction reads clearly at gameplay distance; foot contacts do not slide; cycle blends with adjacent crouch walk directions.</x:v>
      </x:c>
      <x:c r="L25" s="21" t="str">
        <x:v>SRC-001: scripts/unit_extensions/default_player_unit/states/; SRC-015: scripts/helpers/locomotion_utils.lua</x:v>
      </x:c>
      <x:c r="M25" s="21" t="str"/>
    </x:row>
    <x:row r="26" ht="46" customHeight="1">
      <x:c r="A26" s="24" t="str">
        <x:v>ANIM-022</x:v>
      </x:c>
      <x:c r="B26" s="21" t="str">
        <x:v>Core locomotion</x:v>
      </x:c>
      <x:c r="C26" s="21" t="str">
        <x:v>Crouch walk cycle</x:v>
      </x:c>
      <x:c r="D26" s="21" t="str">
        <x:v>Third person</x:v>
      </x:c>
      <x:c r="E26" s="21" t="str">
        <x:v>Left</x:v>
      </x:c>
      <x:c r="F26" s="27" t="str">
        <x:v>Conditional</x:v>
      </x:c>
      <x:c r="G26" s="27" t="str">
        <x:v>P1</x:v>
      </x:c>
      <x:c r="H26" s="27" t="str">
        <x:v>Not Started</x:v>
      </x:c>
      <x:c r="I26" s="27" t="str">
        <x:v>Janfon</x:v>
      </x:c>
      <x:c r="J26" s="21" t="str">
        <x:v>Looping FBX clip</x:v>
      </x:c>
      <x:c r="K26" s="21" t="str">
        <x:v>Direction reads clearly at gameplay distance; foot contacts do not slide; cycle blends with adjacent crouch walk directions.</x:v>
      </x:c>
      <x:c r="L26" s="21" t="str">
        <x:v>SRC-001: scripts/unit_extensions/default_player_unit/states/; SRC-015: scripts/helpers/locomotion_utils.lua</x:v>
      </x:c>
      <x:c r="M26" s="21" t="str"/>
    </x:row>
    <x:row r="27" ht="46" customHeight="1">
      <x:c r="A27" s="24" t="str">
        <x:v>ANIM-023</x:v>
      </x:c>
      <x:c r="B27" s="21" t="str">
        <x:v>Core locomotion</x:v>
      </x:c>
      <x:c r="C27" s="21" t="str">
        <x:v>Crouch walk cycle</x:v>
      </x:c>
      <x:c r="D27" s="21" t="str">
        <x:v>Third person</x:v>
      </x:c>
      <x:c r="E27" s="21" t="str">
        <x:v>Back-left</x:v>
      </x:c>
      <x:c r="F27" s="27" t="str">
        <x:v>Conditional</x:v>
      </x:c>
      <x:c r="G27" s="27" t="str">
        <x:v>P1</x:v>
      </x:c>
      <x:c r="H27" s="27" t="str">
        <x:v>Not Started</x:v>
      </x:c>
      <x:c r="I27" s="27" t="str">
        <x:v>Janfon</x:v>
      </x:c>
      <x:c r="J27" s="21" t="str">
        <x:v>Looping FBX clip</x:v>
      </x:c>
      <x:c r="K27" s="21" t="str">
        <x:v>Direction reads clearly at gameplay distance; foot contacts do not slide; cycle blends with adjacent crouch walk directions.</x:v>
      </x:c>
      <x:c r="L27" s="21" t="str">
        <x:v>SRC-001: scripts/unit_extensions/default_player_unit/states/; SRC-015: scripts/helpers/locomotion_utils.lua</x:v>
      </x:c>
      <x:c r="M27" s="21" t="str"/>
    </x:row>
    <x:row r="28" ht="46" customHeight="1">
      <x:c r="A28" s="24" t="str">
        <x:v>ANIM-024</x:v>
      </x:c>
      <x:c r="B28" s="21" t="str">
        <x:v>Core locomotion</x:v>
      </x:c>
      <x:c r="C28" s="21" t="str">
        <x:v>Crouch walk cycle</x:v>
      </x:c>
      <x:c r="D28" s="21" t="str">
        <x:v>Third person</x:v>
      </x:c>
      <x:c r="E28" s="21" t="str">
        <x:v>Backward</x:v>
      </x:c>
      <x:c r="F28" s="27" t="str">
        <x:v>Conditional</x:v>
      </x:c>
      <x:c r="G28" s="27" t="str">
        <x:v>P1</x:v>
      </x:c>
      <x:c r="H28" s="27" t="str">
        <x:v>Not Started</x:v>
      </x:c>
      <x:c r="I28" s="27" t="str">
        <x:v>Janfon</x:v>
      </x:c>
      <x:c r="J28" s="21" t="str">
        <x:v>Looping FBX clip</x:v>
      </x:c>
      <x:c r="K28" s="21" t="str">
        <x:v>Direction reads clearly at gameplay distance; foot contacts do not slide; cycle blends with adjacent crouch walk directions.</x:v>
      </x:c>
      <x:c r="L28" s="21" t="str">
        <x:v>SRC-001: scripts/unit_extensions/default_player_unit/states/; SRC-015: scripts/helpers/locomotion_utils.lua</x:v>
      </x:c>
      <x:c r="M28" s="21" t="str"/>
    </x:row>
    <x:row r="29" ht="46" customHeight="1">
      <x:c r="A29" s="24" t="str">
        <x:v>ANIM-025</x:v>
      </x:c>
      <x:c r="B29" s="21" t="str">
        <x:v>Core locomotion</x:v>
      </x:c>
      <x:c r="C29" s="21" t="str">
        <x:v>Crouch walk cycle</x:v>
      </x:c>
      <x:c r="D29" s="21" t="str">
        <x:v>Third person</x:v>
      </x:c>
      <x:c r="E29" s="21" t="str">
        <x:v>Back-right</x:v>
      </x:c>
      <x:c r="F29" s="27" t="str">
        <x:v>Conditional</x:v>
      </x:c>
      <x:c r="G29" s="27" t="str">
        <x:v>P1</x:v>
      </x:c>
      <x:c r="H29" s="27" t="str">
        <x:v>Not Started</x:v>
      </x:c>
      <x:c r="I29" s="27" t="str">
        <x:v>Janfon</x:v>
      </x:c>
      <x:c r="J29" s="21" t="str">
        <x:v>Looping FBX clip</x:v>
      </x:c>
      <x:c r="K29" s="21" t="str">
        <x:v>Direction reads clearly at gameplay distance; foot contacts do not slide; cycle blends with adjacent crouch walk directions.</x:v>
      </x:c>
      <x:c r="L29" s="21" t="str">
        <x:v>SRC-001: scripts/unit_extensions/default_player_unit/states/; SRC-015: scripts/helpers/locomotion_utils.lua</x:v>
      </x:c>
      <x:c r="M29" s="21" t="str"/>
    </x:row>
    <x:row r="30" ht="46" customHeight="1">
      <x:c r="A30" s="24" t="str">
        <x:v>ANIM-026</x:v>
      </x:c>
      <x:c r="B30" s="21" t="str">
        <x:v>Core locomotion</x:v>
      </x:c>
      <x:c r="C30" s="21" t="str">
        <x:v>Crouch walk cycle</x:v>
      </x:c>
      <x:c r="D30" s="21" t="str">
        <x:v>Third person</x:v>
      </x:c>
      <x:c r="E30" s="21" t="str">
        <x:v>Right</x:v>
      </x:c>
      <x:c r="F30" s="27" t="str">
        <x:v>Conditional</x:v>
      </x:c>
      <x:c r="G30" s="27" t="str">
        <x:v>P1</x:v>
      </x:c>
      <x:c r="H30" s="27" t="str">
        <x:v>Not Started</x:v>
      </x:c>
      <x:c r="I30" s="27" t="str">
        <x:v>Janfon</x:v>
      </x:c>
      <x:c r="J30" s="21" t="str">
        <x:v>Looping FBX clip</x:v>
      </x:c>
      <x:c r="K30" s="21" t="str">
        <x:v>Direction reads clearly at gameplay distance; foot contacts do not slide; cycle blends with adjacent crouch walk directions.</x:v>
      </x:c>
      <x:c r="L30" s="21" t="str">
        <x:v>SRC-001: scripts/unit_extensions/default_player_unit/states/; SRC-015: scripts/helpers/locomotion_utils.lua</x:v>
      </x:c>
      <x:c r="M30" s="21" t="str"/>
    </x:row>
    <x:row r="31" ht="46" customHeight="1">
      <x:c r="A31" s="24" t="str">
        <x:v>ANIM-027</x:v>
      </x:c>
      <x:c r="B31" s="21" t="str">
        <x:v>Core locomotion</x:v>
      </x:c>
      <x:c r="C31" s="21" t="str">
        <x:v>Crouch walk cycle</x:v>
      </x:c>
      <x:c r="D31" s="21" t="str">
        <x:v>Third person</x:v>
      </x:c>
      <x:c r="E31" s="21" t="str">
        <x:v>Forward-right</x:v>
      </x:c>
      <x:c r="F31" s="27" t="str">
        <x:v>Conditional</x:v>
      </x:c>
      <x:c r="G31" s="27" t="str">
        <x:v>P1</x:v>
      </x:c>
      <x:c r="H31" s="27" t="str">
        <x:v>Not Started</x:v>
      </x:c>
      <x:c r="I31" s="27" t="str">
        <x:v>Janfon</x:v>
      </x:c>
      <x:c r="J31" s="21" t="str">
        <x:v>Looping FBX clip</x:v>
      </x:c>
      <x:c r="K31" s="21" t="str">
        <x:v>Direction reads clearly at gameplay distance; foot contacts do not slide; cycle blends with adjacent crouch walk directions.</x:v>
      </x:c>
      <x:c r="L31" s="21" t="str">
        <x:v>SRC-001: scripts/unit_extensions/default_player_unit/states/; SRC-015: scripts/helpers/locomotion_utils.lua</x:v>
      </x:c>
      <x:c r="M31" s="21" t="str"/>
    </x:row>
    <x:row r="32" ht="46" customHeight="1">
      <x:c r="A32" s="24" t="str">
        <x:v>ANIM-028</x:v>
      </x:c>
      <x:c r="B32" s="21" t="str">
        <x:v>Core locomotion</x:v>
      </x:c>
      <x:c r="C32" s="21" t="str">
        <x:v>Locomotion transition</x:v>
      </x:c>
      <x:c r="D32" s="21" t="str">
        <x:v>Third person</x:v>
      </x:c>
      <x:c r="E32" s="21" t="str">
        <x:v>Idle to walk</x:v>
      </x:c>
      <x:c r="F32" s="27" t="str">
        <x:v>Required</x:v>
      </x:c>
      <x:c r="G32" s="27" t="str">
        <x:v>P1</x:v>
      </x:c>
      <x:c r="H32" s="27" t="str">
        <x:v>Not Started</x:v>
      </x:c>
      <x:c r="I32" s="27" t="str">
        <x:v>Janfon</x:v>
      </x:c>
      <x:c r="J32" s="21" t="str">
        <x:v>One-shot FBX clip</x:v>
      </x:c>
      <x:c r="K32" s="21" t="str">
        <x:v>No teleport or scale key; feet settle at the donor transition timing.</x:v>
      </x:c>
      <x:c r="L32" s="21" t="str">
        <x:v>SRC-001: scripts/unit_extensions/default_player_unit/states/; SRC-015: scripts/helpers/locomotion_utils.lua</x:v>
      </x:c>
      <x:c r="M32" s="21" t="str"/>
    </x:row>
    <x:row r="33" ht="46" customHeight="1">
      <x:c r="A33" s="24" t="str">
        <x:v>ANIM-029</x:v>
      </x:c>
      <x:c r="B33" s="21" t="str">
        <x:v>Core locomotion</x:v>
      </x:c>
      <x:c r="C33" s="21" t="str">
        <x:v>Locomotion transition</x:v>
      </x:c>
      <x:c r="D33" s="21" t="str">
        <x:v>Third person</x:v>
      </x:c>
      <x:c r="E33" s="21" t="str">
        <x:v>Idle to run</x:v>
      </x:c>
      <x:c r="F33" s="27" t="str">
        <x:v>Required</x:v>
      </x:c>
      <x:c r="G33" s="27" t="str">
        <x:v>P1</x:v>
      </x:c>
      <x:c r="H33" s="27" t="str">
        <x:v>Not Started</x:v>
      </x:c>
      <x:c r="I33" s="27" t="str">
        <x:v>Janfon</x:v>
      </x:c>
      <x:c r="J33" s="21" t="str">
        <x:v>One-shot FBX clip</x:v>
      </x:c>
      <x:c r="K33" s="21" t="str">
        <x:v>No teleport or scale key; feet settle at the donor transition timing.</x:v>
      </x:c>
      <x:c r="L33" s="21" t="str">
        <x:v>SRC-001: scripts/unit_extensions/default_player_unit/states/; SRC-015: scripts/helpers/locomotion_utils.lua</x:v>
      </x:c>
      <x:c r="M33" s="21" t="str"/>
    </x:row>
    <x:row r="34" ht="46" customHeight="1">
      <x:c r="A34" s="24" t="str">
        <x:v>ANIM-030</x:v>
      </x:c>
      <x:c r="B34" s="21" t="str">
        <x:v>Core locomotion</x:v>
      </x:c>
      <x:c r="C34" s="21" t="str">
        <x:v>Locomotion transition</x:v>
      </x:c>
      <x:c r="D34" s="21" t="str">
        <x:v>Third person</x:v>
      </x:c>
      <x:c r="E34" s="21" t="str">
        <x:v>Walk/run to idle</x:v>
      </x:c>
      <x:c r="F34" s="27" t="str">
        <x:v>Required</x:v>
      </x:c>
      <x:c r="G34" s="27" t="str">
        <x:v>P1</x:v>
      </x:c>
      <x:c r="H34" s="27" t="str">
        <x:v>Not Started</x:v>
      </x:c>
      <x:c r="I34" s="27" t="str">
        <x:v>Janfon</x:v>
      </x:c>
      <x:c r="J34" s="21" t="str">
        <x:v>One-shot FBX clip</x:v>
      </x:c>
      <x:c r="K34" s="21" t="str">
        <x:v>No teleport or scale key; feet settle at the donor transition timing.</x:v>
      </x:c>
      <x:c r="L34" s="21" t="str">
        <x:v>SRC-001: scripts/unit_extensions/default_player_unit/states/; SRC-015: scripts/helpers/locomotion_utils.lua</x:v>
      </x:c>
      <x:c r="M34" s="21" t="str"/>
    </x:row>
    <x:row r="35" ht="46" customHeight="1">
      <x:c r="A35" s="24" t="str">
        <x:v>ANIM-031</x:v>
      </x:c>
      <x:c r="B35" s="21" t="str">
        <x:v>Core locomotion</x:v>
      </x:c>
      <x:c r="C35" s="21" t="str">
        <x:v>Locomotion transition</x:v>
      </x:c>
      <x:c r="D35" s="21" t="str">
        <x:v>Third person</x:v>
      </x:c>
      <x:c r="E35" s="21" t="str">
        <x:v>180-degree turn left</x:v>
      </x:c>
      <x:c r="F35" s="27" t="str">
        <x:v>Required</x:v>
      </x:c>
      <x:c r="G35" s="27" t="str">
        <x:v>P1</x:v>
      </x:c>
      <x:c r="H35" s="27" t="str">
        <x:v>Not Started</x:v>
      </x:c>
      <x:c r="I35" s="27" t="str">
        <x:v>Janfon</x:v>
      </x:c>
      <x:c r="J35" s="21" t="str">
        <x:v>One-shot FBX clip</x:v>
      </x:c>
      <x:c r="K35" s="21" t="str">
        <x:v>No teleport or scale key; feet settle at the donor transition timing.</x:v>
      </x:c>
      <x:c r="L35" s="21" t="str">
        <x:v>SRC-001: scripts/unit_extensions/default_player_unit/states/; SRC-015: scripts/helpers/locomotion_utils.lua</x:v>
      </x:c>
      <x:c r="M35" s="21" t="str"/>
    </x:row>
    <x:row r="36" ht="46" customHeight="1">
      <x:c r="A36" s="24" t="str">
        <x:v>ANIM-032</x:v>
      </x:c>
      <x:c r="B36" s="21" t="str">
        <x:v>Core locomotion</x:v>
      </x:c>
      <x:c r="C36" s="21" t="str">
        <x:v>Locomotion transition</x:v>
      </x:c>
      <x:c r="D36" s="21" t="str">
        <x:v>Third person</x:v>
      </x:c>
      <x:c r="E36" s="21" t="str">
        <x:v>180-degree turn right</x:v>
      </x:c>
      <x:c r="F36" s="27" t="str">
        <x:v>Required</x:v>
      </x:c>
      <x:c r="G36" s="27" t="str">
        <x:v>P1</x:v>
      </x:c>
      <x:c r="H36" s="27" t="str">
        <x:v>Not Started</x:v>
      </x:c>
      <x:c r="I36" s="27" t="str">
        <x:v>Janfon</x:v>
      </x:c>
      <x:c r="J36" s="21" t="str">
        <x:v>One-shot FBX clip</x:v>
      </x:c>
      <x:c r="K36" s="21" t="str">
        <x:v>No teleport or scale key; feet settle at the donor transition timing.</x:v>
      </x:c>
      <x:c r="L36" s="21" t="str">
        <x:v>SRC-001: scripts/unit_extensions/default_player_unit/states/; SRC-015: scripts/helpers/locomotion_utils.lua</x:v>
      </x:c>
      <x:c r="M36" s="21" t="str"/>
    </x:row>
    <x:row r="37" ht="46" customHeight="1">
      <x:c r="A37" s="24" t="str">
        <x:v>ANIM-033</x:v>
      </x:c>
      <x:c r="B37" s="21" t="str">
        <x:v>Core locomotion</x:v>
      </x:c>
      <x:c r="C37" s="21" t="str">
        <x:v>Locomotion transition</x:v>
      </x:c>
      <x:c r="D37" s="21" t="str">
        <x:v>Third person</x:v>
      </x:c>
      <x:c r="E37" s="21" t="str">
        <x:v>Turn in place left</x:v>
      </x:c>
      <x:c r="F37" s="27" t="str">
        <x:v>Required</x:v>
      </x:c>
      <x:c r="G37" s="27" t="str">
        <x:v>P1</x:v>
      </x:c>
      <x:c r="H37" s="27" t="str">
        <x:v>Not Started</x:v>
      </x:c>
      <x:c r="I37" s="27" t="str">
        <x:v>Janfon</x:v>
      </x:c>
      <x:c r="J37" s="21" t="str">
        <x:v>One-shot FBX clip</x:v>
      </x:c>
      <x:c r="K37" s="21" t="str">
        <x:v>No teleport or scale key; feet settle at the donor transition timing.</x:v>
      </x:c>
      <x:c r="L37" s="21" t="str">
        <x:v>SRC-001: scripts/unit_extensions/default_player_unit/states/; SRC-015: scripts/helpers/locomotion_utils.lua</x:v>
      </x:c>
      <x:c r="M37" s="21" t="str"/>
    </x:row>
    <x:row r="38" ht="46" customHeight="1">
      <x:c r="A38" s="24" t="str">
        <x:v>ANIM-034</x:v>
      </x:c>
      <x:c r="B38" s="21" t="str">
        <x:v>Core locomotion</x:v>
      </x:c>
      <x:c r="C38" s="21" t="str">
        <x:v>Locomotion transition</x:v>
      </x:c>
      <x:c r="D38" s="21" t="str">
        <x:v>Third person</x:v>
      </x:c>
      <x:c r="E38" s="21" t="str">
        <x:v>Turn in place right</x:v>
      </x:c>
      <x:c r="F38" s="27" t="str">
        <x:v>Required</x:v>
      </x:c>
      <x:c r="G38" s="27" t="str">
        <x:v>P1</x:v>
      </x:c>
      <x:c r="H38" s="27" t="str">
        <x:v>Not Started</x:v>
      </x:c>
      <x:c r="I38" s="27" t="str">
        <x:v>Janfon</x:v>
      </x:c>
      <x:c r="J38" s="21" t="str">
        <x:v>One-shot FBX clip</x:v>
      </x:c>
      <x:c r="K38" s="21" t="str">
        <x:v>No teleport or scale key; feet settle at the donor transition timing.</x:v>
      </x:c>
      <x:c r="L38" s="21" t="str">
        <x:v>SRC-001: scripts/unit_extensions/default_player_unit/states/; SRC-015: scripts/helpers/locomotion_utils.lua</x:v>
      </x:c>
      <x:c r="M38" s="21" t="str"/>
    </x:row>
    <x:row r="39" ht="46" customHeight="1">
      <x:c r="A39" s="24" t="str">
        <x:v>ANIM-035</x:v>
      </x:c>
      <x:c r="B39" s="21" t="str">
        <x:v>Evasion</x:v>
      </x:c>
      <x:c r="C39" s="21" t="str">
        <x:v>Dodge</x:v>
      </x:c>
      <x:c r="D39" s="21" t="str">
        <x:v>Third person</x:v>
      </x:c>
      <x:c r="E39" s="21" t="str">
        <x:v>Forward</x:v>
      </x:c>
      <x:c r="F39" s="27" t="str">
        <x:v>Required</x:v>
      </x:c>
      <x:c r="G39" s="27" t="str">
        <x:v>P0</x:v>
      </x:c>
      <x:c r="H39" s="27" t="str">
        <x:v>Not Started</x:v>
      </x:c>
      <x:c r="I39" s="27" t="str">
        <x:v>Janfon</x:v>
      </x:c>
      <x:c r="J39" s="21" t="str">
        <x:v>One-shot FBX clip</x:v>
      </x:c>
      <x:c r="K39" s="21" t="str">
        <x:v>Silhouette communicates dodge direction; blends back to idle/run without arm snapping.</x:v>
      </x:c>
      <x:c r="L39" s="21" t="str">
        <x:v>SRC-001: scripts/unit_extensions/default_player_unit/states/player_character_state_dodging.lua</x:v>
      </x:c>
      <x:c r="M39" s="21" t="str"/>
    </x:row>
    <x:row r="40" ht="46" customHeight="1">
      <x:c r="A40" s="24" t="str">
        <x:v>ANIM-036</x:v>
      </x:c>
      <x:c r="B40" s="21" t="str">
        <x:v>Evasion</x:v>
      </x:c>
      <x:c r="C40" s="21" t="str">
        <x:v>Dodge</x:v>
      </x:c>
      <x:c r="D40" s="21" t="str">
        <x:v>Third person</x:v>
      </x:c>
      <x:c r="E40" s="21" t="str">
        <x:v>Forward-left</x:v>
      </x:c>
      <x:c r="F40" s="27" t="str">
        <x:v>Required</x:v>
      </x:c>
      <x:c r="G40" s="27" t="str">
        <x:v>P0</x:v>
      </x:c>
      <x:c r="H40" s="27" t="str">
        <x:v>Not Started</x:v>
      </x:c>
      <x:c r="I40" s="27" t="str">
        <x:v>Janfon</x:v>
      </x:c>
      <x:c r="J40" s="21" t="str">
        <x:v>One-shot FBX clip</x:v>
      </x:c>
      <x:c r="K40" s="21" t="str">
        <x:v>Silhouette communicates dodge direction; blends back to idle/run without arm snapping.</x:v>
      </x:c>
      <x:c r="L40" s="21" t="str">
        <x:v>SRC-001: scripts/unit_extensions/default_player_unit/states/player_character_state_dodging.lua</x:v>
      </x:c>
      <x:c r="M40" s="21" t="str"/>
    </x:row>
    <x:row r="41" ht="46" customHeight="1">
      <x:c r="A41" s="24" t="str">
        <x:v>ANIM-037</x:v>
      </x:c>
      <x:c r="B41" s="21" t="str">
        <x:v>Evasion</x:v>
      </x:c>
      <x:c r="C41" s="21" t="str">
        <x:v>Dodge</x:v>
      </x:c>
      <x:c r="D41" s="21" t="str">
        <x:v>Third person</x:v>
      </x:c>
      <x:c r="E41" s="21" t="str">
        <x:v>Left</x:v>
      </x:c>
      <x:c r="F41" s="27" t="str">
        <x:v>Required</x:v>
      </x:c>
      <x:c r="G41" s="27" t="str">
        <x:v>P0</x:v>
      </x:c>
      <x:c r="H41" s="27" t="str">
        <x:v>Not Started</x:v>
      </x:c>
      <x:c r="I41" s="27" t="str">
        <x:v>Janfon</x:v>
      </x:c>
      <x:c r="J41" s="21" t="str">
        <x:v>One-shot FBX clip</x:v>
      </x:c>
      <x:c r="K41" s="21" t="str">
        <x:v>Silhouette communicates dodge direction; blends back to idle/run without arm snapping.</x:v>
      </x:c>
      <x:c r="L41" s="21" t="str">
        <x:v>SRC-001: scripts/unit_extensions/default_player_unit/states/player_character_state_dodging.lua</x:v>
      </x:c>
      <x:c r="M41" s="21" t="str"/>
    </x:row>
    <x:row r="42" ht="46" customHeight="1">
      <x:c r="A42" s="24" t="str">
        <x:v>ANIM-038</x:v>
      </x:c>
      <x:c r="B42" s="21" t="str">
        <x:v>Evasion</x:v>
      </x:c>
      <x:c r="C42" s="21" t="str">
        <x:v>Dodge</x:v>
      </x:c>
      <x:c r="D42" s="21" t="str">
        <x:v>Third person</x:v>
      </x:c>
      <x:c r="E42" s="21" t="str">
        <x:v>Back-left</x:v>
      </x:c>
      <x:c r="F42" s="27" t="str">
        <x:v>Required</x:v>
      </x:c>
      <x:c r="G42" s="27" t="str">
        <x:v>P0</x:v>
      </x:c>
      <x:c r="H42" s="27" t="str">
        <x:v>Not Started</x:v>
      </x:c>
      <x:c r="I42" s="27" t="str">
        <x:v>Janfon</x:v>
      </x:c>
      <x:c r="J42" s="21" t="str">
        <x:v>One-shot FBX clip</x:v>
      </x:c>
      <x:c r="K42" s="21" t="str">
        <x:v>Silhouette communicates dodge direction; blends back to idle/run without arm snapping.</x:v>
      </x:c>
      <x:c r="L42" s="21" t="str">
        <x:v>SRC-001: scripts/unit_extensions/default_player_unit/states/player_character_state_dodging.lua</x:v>
      </x:c>
      <x:c r="M42" s="21" t="str"/>
    </x:row>
    <x:row r="43" ht="46" customHeight="1">
      <x:c r="A43" s="24" t="str">
        <x:v>ANIM-039</x:v>
      </x:c>
      <x:c r="B43" s="21" t="str">
        <x:v>Evasion</x:v>
      </x:c>
      <x:c r="C43" s="21" t="str">
        <x:v>Dodge</x:v>
      </x:c>
      <x:c r="D43" s="21" t="str">
        <x:v>Third person</x:v>
      </x:c>
      <x:c r="E43" s="21" t="str">
        <x:v>Backward</x:v>
      </x:c>
      <x:c r="F43" s="27" t="str">
        <x:v>Required</x:v>
      </x:c>
      <x:c r="G43" s="27" t="str">
        <x:v>P0</x:v>
      </x:c>
      <x:c r="H43" s="27" t="str">
        <x:v>Not Started</x:v>
      </x:c>
      <x:c r="I43" s="27" t="str">
        <x:v>Janfon</x:v>
      </x:c>
      <x:c r="J43" s="21" t="str">
        <x:v>One-shot FBX clip</x:v>
      </x:c>
      <x:c r="K43" s="21" t="str">
        <x:v>Silhouette communicates dodge direction; blends back to idle/run without arm snapping.</x:v>
      </x:c>
      <x:c r="L43" s="21" t="str">
        <x:v>SRC-001: scripts/unit_extensions/default_player_unit/states/player_character_state_dodging.lua</x:v>
      </x:c>
      <x:c r="M43" s="21" t="str"/>
    </x:row>
    <x:row r="44" ht="46" customHeight="1">
      <x:c r="A44" s="24" t="str">
        <x:v>ANIM-040</x:v>
      </x:c>
      <x:c r="B44" s="21" t="str">
        <x:v>Evasion</x:v>
      </x:c>
      <x:c r="C44" s="21" t="str">
        <x:v>Dodge</x:v>
      </x:c>
      <x:c r="D44" s="21" t="str">
        <x:v>Third person</x:v>
      </x:c>
      <x:c r="E44" s="21" t="str">
        <x:v>Back-right</x:v>
      </x:c>
      <x:c r="F44" s="27" t="str">
        <x:v>Required</x:v>
      </x:c>
      <x:c r="G44" s="27" t="str">
        <x:v>P0</x:v>
      </x:c>
      <x:c r="H44" s="27" t="str">
        <x:v>Not Started</x:v>
      </x:c>
      <x:c r="I44" s="27" t="str">
        <x:v>Janfon</x:v>
      </x:c>
      <x:c r="J44" s="21" t="str">
        <x:v>One-shot FBX clip</x:v>
      </x:c>
      <x:c r="K44" s="21" t="str">
        <x:v>Silhouette communicates dodge direction; blends back to idle/run without arm snapping.</x:v>
      </x:c>
      <x:c r="L44" s="21" t="str">
        <x:v>SRC-001: scripts/unit_extensions/default_player_unit/states/player_character_state_dodging.lua</x:v>
      </x:c>
      <x:c r="M44" s="21" t="str"/>
    </x:row>
    <x:row r="45" ht="46" customHeight="1">
      <x:c r="A45" s="24" t="str">
        <x:v>ANIM-041</x:v>
      </x:c>
      <x:c r="B45" s="21" t="str">
        <x:v>Evasion</x:v>
      </x:c>
      <x:c r="C45" s="21" t="str">
        <x:v>Dodge</x:v>
      </x:c>
      <x:c r="D45" s="21" t="str">
        <x:v>Third person</x:v>
      </x:c>
      <x:c r="E45" s="21" t="str">
        <x:v>Right</x:v>
      </x:c>
      <x:c r="F45" s="27" t="str">
        <x:v>Required</x:v>
      </x:c>
      <x:c r="G45" s="27" t="str">
        <x:v>P0</x:v>
      </x:c>
      <x:c r="H45" s="27" t="str">
        <x:v>Not Started</x:v>
      </x:c>
      <x:c r="I45" s="27" t="str">
        <x:v>Janfon</x:v>
      </x:c>
      <x:c r="J45" s="21" t="str">
        <x:v>One-shot FBX clip</x:v>
      </x:c>
      <x:c r="K45" s="21" t="str">
        <x:v>Silhouette communicates dodge direction; blends back to idle/run without arm snapping.</x:v>
      </x:c>
      <x:c r="L45" s="21" t="str">
        <x:v>SRC-001: scripts/unit_extensions/default_player_unit/states/player_character_state_dodging.lua</x:v>
      </x:c>
      <x:c r="M45" s="21" t="str"/>
    </x:row>
    <x:row r="46" ht="46" customHeight="1">
      <x:c r="A46" s="24" t="str">
        <x:v>ANIM-042</x:v>
      </x:c>
      <x:c r="B46" s="21" t="str">
        <x:v>Evasion</x:v>
      </x:c>
      <x:c r="C46" s="21" t="str">
        <x:v>Dodge</x:v>
      </x:c>
      <x:c r="D46" s="21" t="str">
        <x:v>Third person</x:v>
      </x:c>
      <x:c r="E46" s="21" t="str">
        <x:v>Forward-right</x:v>
      </x:c>
      <x:c r="F46" s="27" t="str">
        <x:v>Required</x:v>
      </x:c>
      <x:c r="G46" s="27" t="str">
        <x:v>P0</x:v>
      </x:c>
      <x:c r="H46" s="27" t="str">
        <x:v>Not Started</x:v>
      </x:c>
      <x:c r="I46" s="27" t="str">
        <x:v>Janfon</x:v>
      </x:c>
      <x:c r="J46" s="21" t="str">
        <x:v>One-shot FBX clip</x:v>
      </x:c>
      <x:c r="K46" s="21" t="str">
        <x:v>Silhouette communicates dodge direction; blends back to idle/run without arm snapping.</x:v>
      </x:c>
      <x:c r="L46" s="21" t="str">
        <x:v>SRC-001: scripts/unit_extensions/default_player_unit/states/player_character_state_dodging.lua</x:v>
      </x:c>
      <x:c r="M46" s="21" t="str"/>
    </x:row>
    <x:row r="47" ht="46" customHeight="1">
      <x:c r="A47" s="24" t="str">
        <x:v>ANIM-043</x:v>
      </x:c>
      <x:c r="B47" s="21" t="str">
        <x:v>Air movement</x:v>
      </x:c>
      <x:c r="C47" s="21" t="str">
        <x:v>Jump anticipation</x:v>
      </x:c>
      <x:c r="D47" s="21" t="str">
        <x:v>Third person</x:v>
      </x:c>
      <x:c r="E47" s="21" t="str">
        <x:v>Forward/default</x:v>
      </x:c>
      <x:c r="F47" s="27" t="str">
        <x:v>Required</x:v>
      </x:c>
      <x:c r="G47" s="27" t="str">
        <x:v>P0</x:v>
      </x:c>
      <x:c r="H47" s="27" t="str">
        <x:v>Not Started</x:v>
      </x:c>
      <x:c r="I47" s="27" t="str">
        <x:v>Janfon</x:v>
      </x:c>
      <x:c r="J47" s="21" t="str">
        <x:v>One-shot or loop FBX clip</x:v>
      </x:c>
      <x:c r="K47" s="21" t="str">
        <x:v>Matches vertical state transition; root motion is engine-driven; no pose pop at takeoff/apex/landing.</x:v>
      </x:c>
      <x:c r="L47" s="21" t="str">
        <x:v>SRC-001: scripts/unit_extensions/default_player_unit/states/player_character_state_jumping.lua; SRC-001: scripts/unit_extensions/default_player_unit/states/player_character_state_falling.lua</x:v>
      </x:c>
      <x:c r="M47" s="21" t="str"/>
    </x:row>
    <x:row r="48" ht="46" customHeight="1">
      <x:c r="A48" s="24" t="str">
        <x:v>ANIM-044</x:v>
      </x:c>
      <x:c r="B48" s="21" t="str">
        <x:v>Air movement</x:v>
      </x:c>
      <x:c r="C48" s="21" t="str">
        <x:v>Jump takeoff</x:v>
      </x:c>
      <x:c r="D48" s="21" t="str">
        <x:v>Third person</x:v>
      </x:c>
      <x:c r="E48" s="21" t="str">
        <x:v>Forward/default</x:v>
      </x:c>
      <x:c r="F48" s="27" t="str">
        <x:v>Required</x:v>
      </x:c>
      <x:c r="G48" s="27" t="str">
        <x:v>P0</x:v>
      </x:c>
      <x:c r="H48" s="27" t="str">
        <x:v>Not Started</x:v>
      </x:c>
      <x:c r="I48" s="27" t="str">
        <x:v>Janfon</x:v>
      </x:c>
      <x:c r="J48" s="21" t="str">
        <x:v>One-shot or loop FBX clip</x:v>
      </x:c>
      <x:c r="K48" s="21" t="str">
        <x:v>Matches vertical state transition; root motion is engine-driven; no pose pop at takeoff/apex/landing.</x:v>
      </x:c>
      <x:c r="L48" s="21" t="str">
        <x:v>SRC-001: scripts/unit_extensions/default_player_unit/states/player_character_state_jumping.lua; SRC-001: scripts/unit_extensions/default_player_unit/states/player_character_state_falling.lua</x:v>
      </x:c>
      <x:c r="M48" s="21" t="str"/>
    </x:row>
    <x:row r="49" ht="46" customHeight="1">
      <x:c r="A49" s="24" t="str">
        <x:v>ANIM-045</x:v>
      </x:c>
      <x:c r="B49" s="21" t="str">
        <x:v>Air movement</x:v>
      </x:c>
      <x:c r="C49" s="21" t="str">
        <x:v>Airborne rise</x:v>
      </x:c>
      <x:c r="D49" s="21" t="str">
        <x:v>Third person</x:v>
      </x:c>
      <x:c r="E49" s="21" t="str">
        <x:v>Forward/default</x:v>
      </x:c>
      <x:c r="F49" s="27" t="str">
        <x:v>Required</x:v>
      </x:c>
      <x:c r="G49" s="27" t="str">
        <x:v>P0</x:v>
      </x:c>
      <x:c r="H49" s="27" t="str">
        <x:v>Not Started</x:v>
      </x:c>
      <x:c r="I49" s="27" t="str">
        <x:v>Janfon</x:v>
      </x:c>
      <x:c r="J49" s="21" t="str">
        <x:v>One-shot or loop FBX clip</x:v>
      </x:c>
      <x:c r="K49" s="21" t="str">
        <x:v>Matches vertical state transition; root motion is engine-driven; no pose pop at takeoff/apex/landing.</x:v>
      </x:c>
      <x:c r="L49" s="21" t="str">
        <x:v>SRC-001: scripts/unit_extensions/default_player_unit/states/player_character_state_jumping.lua; SRC-001: scripts/unit_extensions/default_player_unit/states/player_character_state_falling.lua</x:v>
      </x:c>
      <x:c r="M49" s="21" t="str"/>
    </x:row>
    <x:row r="50" ht="46" customHeight="1">
      <x:c r="A50" s="24" t="str">
        <x:v>ANIM-046</x:v>
      </x:c>
      <x:c r="B50" s="21" t="str">
        <x:v>Air movement</x:v>
      </x:c>
      <x:c r="C50" s="21" t="str">
        <x:v>Airborne apex</x:v>
      </x:c>
      <x:c r="D50" s="21" t="str">
        <x:v>Third person</x:v>
      </x:c>
      <x:c r="E50" s="21" t="str">
        <x:v>Forward/default</x:v>
      </x:c>
      <x:c r="F50" s="27" t="str">
        <x:v>Required</x:v>
      </x:c>
      <x:c r="G50" s="27" t="str">
        <x:v>P0</x:v>
      </x:c>
      <x:c r="H50" s="27" t="str">
        <x:v>Not Started</x:v>
      </x:c>
      <x:c r="I50" s="27" t="str">
        <x:v>Janfon</x:v>
      </x:c>
      <x:c r="J50" s="21" t="str">
        <x:v>One-shot or loop FBX clip</x:v>
      </x:c>
      <x:c r="K50" s="21" t="str">
        <x:v>Matches vertical state transition; root motion is engine-driven; no pose pop at takeoff/apex/landing.</x:v>
      </x:c>
      <x:c r="L50" s="21" t="str">
        <x:v>SRC-001: scripts/unit_extensions/default_player_unit/states/player_character_state_jumping.lua; SRC-001: scripts/unit_extensions/default_player_unit/states/player_character_state_falling.lua</x:v>
      </x:c>
      <x:c r="M50" s="21" t="str"/>
    </x:row>
    <x:row r="51" ht="46" customHeight="1">
      <x:c r="A51" s="24" t="str">
        <x:v>ANIM-047</x:v>
      </x:c>
      <x:c r="B51" s="21" t="str">
        <x:v>Air movement</x:v>
      </x:c>
      <x:c r="C51" s="21" t="str">
        <x:v>Falling loop</x:v>
      </x:c>
      <x:c r="D51" s="21" t="str">
        <x:v>Third person</x:v>
      </x:c>
      <x:c r="E51" s="21" t="str">
        <x:v>Forward/default</x:v>
      </x:c>
      <x:c r="F51" s="27" t="str">
        <x:v>Required</x:v>
      </x:c>
      <x:c r="G51" s="27" t="str">
        <x:v>P0</x:v>
      </x:c>
      <x:c r="H51" s="27" t="str">
        <x:v>Not Started</x:v>
      </x:c>
      <x:c r="I51" s="27" t="str">
        <x:v>Janfon</x:v>
      </x:c>
      <x:c r="J51" s="21" t="str">
        <x:v>One-shot or loop FBX clip</x:v>
      </x:c>
      <x:c r="K51" s="21" t="str">
        <x:v>Matches vertical state transition; root motion is engine-driven; no pose pop at takeoff/apex/landing.</x:v>
      </x:c>
      <x:c r="L51" s="21" t="str">
        <x:v>SRC-001: scripts/unit_extensions/default_player_unit/states/player_character_state_jumping.lua; SRC-001: scripts/unit_extensions/default_player_unit/states/player_character_state_falling.lua</x:v>
      </x:c>
      <x:c r="M51" s="21" t="str"/>
    </x:row>
    <x:row r="52" ht="46" customHeight="1">
      <x:c r="A52" s="24" t="str">
        <x:v>ANIM-048</x:v>
      </x:c>
      <x:c r="B52" s="21" t="str">
        <x:v>Air movement</x:v>
      </x:c>
      <x:c r="C52" s="21" t="str">
        <x:v>Short landing</x:v>
      </x:c>
      <x:c r="D52" s="21" t="str">
        <x:v>Third person</x:v>
      </x:c>
      <x:c r="E52" s="21" t="str">
        <x:v>Forward/default</x:v>
      </x:c>
      <x:c r="F52" s="27" t="str">
        <x:v>Required</x:v>
      </x:c>
      <x:c r="G52" s="27" t="str">
        <x:v>P0</x:v>
      </x:c>
      <x:c r="H52" s="27" t="str">
        <x:v>Not Started</x:v>
      </x:c>
      <x:c r="I52" s="27" t="str">
        <x:v>Janfon</x:v>
      </x:c>
      <x:c r="J52" s="21" t="str">
        <x:v>One-shot or loop FBX clip</x:v>
      </x:c>
      <x:c r="K52" s="21" t="str">
        <x:v>Matches vertical state transition; root motion is engine-driven; no pose pop at takeoff/apex/landing.</x:v>
      </x:c>
      <x:c r="L52" s="21" t="str">
        <x:v>SRC-001: scripts/unit_extensions/default_player_unit/states/player_character_state_jumping.lua; SRC-001: scripts/unit_extensions/default_player_unit/states/player_character_state_falling.lua</x:v>
      </x:c>
      <x:c r="M52" s="21" t="str"/>
    </x:row>
    <x:row r="53" ht="46" customHeight="1">
      <x:c r="A53" s="24" t="str">
        <x:v>ANIM-049</x:v>
      </x:c>
      <x:c r="B53" s="21" t="str">
        <x:v>Air movement</x:v>
      </x:c>
      <x:c r="C53" s="21" t="str">
        <x:v>Long landing</x:v>
      </x:c>
      <x:c r="D53" s="21" t="str">
        <x:v>Third person</x:v>
      </x:c>
      <x:c r="E53" s="21" t="str">
        <x:v>Forward/default</x:v>
      </x:c>
      <x:c r="F53" s="27" t="str">
        <x:v>Required</x:v>
      </x:c>
      <x:c r="G53" s="27" t="str">
        <x:v>P0</x:v>
      </x:c>
      <x:c r="H53" s="27" t="str">
        <x:v>Not Started</x:v>
      </x:c>
      <x:c r="I53" s="27" t="str">
        <x:v>Janfon</x:v>
      </x:c>
      <x:c r="J53" s="21" t="str">
        <x:v>One-shot or loop FBX clip</x:v>
      </x:c>
      <x:c r="K53" s="21" t="str">
        <x:v>Matches vertical state transition; root motion is engine-driven; no pose pop at takeoff/apex/landing.</x:v>
      </x:c>
      <x:c r="L53" s="21" t="str">
        <x:v>SRC-001: scripts/unit_extensions/default_player_unit/states/player_character_state_jumping.lua; SRC-001: scripts/unit_extensions/default_player_unit/states/player_character_state_falling.lua</x:v>
      </x:c>
      <x:c r="M53" s="21" t="str"/>
    </x:row>
    <x:row r="54" ht="46" customHeight="1">
      <x:c r="A54" s="24" t="str">
        <x:v>ANIM-050</x:v>
      </x:c>
      <x:c r="B54" s="21" t="str">
        <x:v>Air movement</x:v>
      </x:c>
      <x:c r="C54" s="21" t="str">
        <x:v>Hard landing / stagger</x:v>
      </x:c>
      <x:c r="D54" s="21" t="str">
        <x:v>Third person</x:v>
      </x:c>
      <x:c r="E54" s="21" t="str">
        <x:v>Forward/default</x:v>
      </x:c>
      <x:c r="F54" s="27" t="str">
        <x:v>Required</x:v>
      </x:c>
      <x:c r="G54" s="27" t="str">
        <x:v>P1</x:v>
      </x:c>
      <x:c r="H54" s="27" t="str">
        <x:v>Not Started</x:v>
      </x:c>
      <x:c r="I54" s="27" t="str">
        <x:v>Janfon</x:v>
      </x:c>
      <x:c r="J54" s="21" t="str">
        <x:v>One-shot or loop FBX clip</x:v>
      </x:c>
      <x:c r="K54" s="21" t="str">
        <x:v>Matches vertical state transition; root motion is engine-driven; no pose pop at takeoff/apex/landing.</x:v>
      </x:c>
      <x:c r="L54" s="21" t="str">
        <x:v>SRC-001: scripts/unit_extensions/default_player_unit/states/player_character_state_jumping.lua; SRC-001: scripts/unit_extensions/default_player_unit/states/player_character_state_falling.lua</x:v>
      </x:c>
      <x:c r="M54" s="21" t="str"/>
    </x:row>
    <x:row r="55" ht="46" customHeight="1">
      <x:c r="A55" s="24" t="str">
        <x:v>ANIM-051</x:v>
      </x:c>
      <x:c r="B55" s="21" t="str">
        <x:v>Core locomotion</x:v>
      </x:c>
      <x:c r="C55" s="21" t="str">
        <x:v>Neutral idle loop</x:v>
      </x:c>
      <x:c r="D55" s="21" t="str">
        <x:v>First person</x:v>
      </x:c>
      <x:c r="E55" s="21" t="str">
        <x:v>Standing</x:v>
      </x:c>
      <x:c r="F55" s="27" t="str">
        <x:v>Required</x:v>
      </x:c>
      <x:c r="G55" s="27" t="str">
        <x:v>P0</x:v>
      </x:c>
      <x:c r="H55" s="27" t="str">
        <x:v>Not Started</x:v>
      </x:c>
      <x:c r="I55" s="27" t="str">
        <x:v>Janfon</x:v>
      </x:c>
      <x:c r="J55" s="21" t="str">
        <x:v>Looping FBX clip</x:v>
      </x:c>
      <x:c r="K55" s="21" t="str">
        <x:v>Loops without a visible pop; root stays planted; hands and tail remain stable.</x:v>
      </x:c>
      <x:c r="L55" s="21" t="str">
        <x:v>SRC-001: scripts/unit_extensions/default_player_unit/states/; SRC-002: scripts/unit_extensions/default_player_unit/player_unit_first_person.lua</x:v>
      </x:c>
      <x:c r="M55" s="21" t="str">
        <x:v>Provide at least two subtle variants to reduce repetition.</x:v>
      </x:c>
    </x:row>
    <x:row r="56" ht="46" customHeight="1">
      <x:c r="A56" s="24" t="str">
        <x:v>ANIM-052</x:v>
      </x:c>
      <x:c r="B56" s="21" t="str">
        <x:v>Core locomotion</x:v>
      </x:c>
      <x:c r="C56" s="21" t="str">
        <x:v>Alert/combat idle loop</x:v>
      </x:c>
      <x:c r="D56" s="21" t="str">
        <x:v>First person</x:v>
      </x:c>
      <x:c r="E56" s="21" t="str">
        <x:v>Weapon-ready</x:v>
      </x:c>
      <x:c r="F56" s="27" t="str">
        <x:v>Required</x:v>
      </x:c>
      <x:c r="G56" s="27" t="str">
        <x:v>P0</x:v>
      </x:c>
      <x:c r="H56" s="27" t="str">
        <x:v>Not Started</x:v>
      </x:c>
      <x:c r="I56" s="27" t="str">
        <x:v>Janfon</x:v>
      </x:c>
      <x:c r="J56" s="21" t="str">
        <x:v>Looping FBX clip</x:v>
      </x:c>
      <x:c r="K56" s="21" t="str">
        <x:v>Matches ready stance and blends cleanly into attacks, block, walk, and dodge.</x:v>
      </x:c>
      <x:c r="L56" s="21" t="str">
        <x:v>SRC-001: scripts/unit_extensions/default_player_unit/states/; SRC-009: scripts/settings/equipment/weapon_templates/</x:v>
      </x:c>
      <x:c r="M56" s="21" t="str"/>
    </x:row>
    <x:row r="57" ht="46" customHeight="1">
      <x:c r="A57" s="24" t="str">
        <x:v>ANIM-053</x:v>
      </x:c>
      <x:c r="B57" s="21" t="str">
        <x:v>Core locomotion</x:v>
      </x:c>
      <x:c r="C57" s="21" t="str">
        <x:v>Idle variation</x:v>
      </x:c>
      <x:c r="D57" s="21" t="str">
        <x:v>First person</x:v>
      </x:c>
      <x:c r="E57" s="21" t="str">
        <x:v>Look / sniff / fidget</x:v>
      </x:c>
      <x:c r="F57" s="27" t="str">
        <x:v>Optional</x:v>
      </x:c>
      <x:c r="G57" s="27" t="str">
        <x:v>P2</x:v>
      </x:c>
      <x:c r="H57" s="27" t="str">
        <x:v>Not Started</x:v>
      </x:c>
      <x:c r="I57" s="27" t="str">
        <x:v>Janfon</x:v>
      </x:c>
      <x:c r="J57" s="21" t="str">
        <x:v>3 additive or full-body clips</x:v>
      </x:c>
      <x:c r="K57" s="21" t="str">
        <x:v>No locomotion root motion; safe to interrupt at authored exit markers.</x:v>
      </x:c>
      <x:c r="L57" s="21" t="str">
        <x:v>SRC-004: scripts/settings/profiles/career_settings.lua; SRC-011: scripts/ui/views/hero_view/</x:v>
      </x:c>
      <x:c r="M57" s="21" t="str"/>
    </x:row>
    <x:row r="58" ht="46" customHeight="1">
      <x:c r="A58" s="24" t="str">
        <x:v>ANIM-054</x:v>
      </x:c>
      <x:c r="B58" s="21" t="str">
        <x:v>Core locomotion</x:v>
      </x:c>
      <x:c r="C58" s="21" t="str">
        <x:v>Walk cycle</x:v>
      </x:c>
      <x:c r="D58" s="21" t="str">
        <x:v>First person</x:v>
      </x:c>
      <x:c r="E58" s="21" t="str">
        <x:v>Forward</x:v>
      </x:c>
      <x:c r="F58" s="27" t="str">
        <x:v>Required</x:v>
      </x:c>
      <x:c r="G58" s="27" t="str">
        <x:v>P1</x:v>
      </x:c>
      <x:c r="H58" s="27" t="str">
        <x:v>Not Started</x:v>
      </x:c>
      <x:c r="I58" s="27" t="str">
        <x:v>Janfon</x:v>
      </x:c>
      <x:c r="J58" s="21" t="str">
        <x:v>Looping FBX clip</x:v>
      </x:c>
      <x:c r="K58" s="21" t="str">
        <x:v>Direction reads clearly at gameplay distance; foot contacts do not slide; cycle blends with adjacent walk directions.</x:v>
      </x:c>
      <x:c r="L58" s="21" t="str">
        <x:v>SRC-001: scripts/unit_extensions/default_player_unit/states/; SRC-015: scripts/helpers/locomotion_utils.lua</x:v>
      </x:c>
      <x:c r="M58" s="21" t="str"/>
    </x:row>
    <x:row r="59" ht="46" customHeight="1">
      <x:c r="A59" s="24" t="str">
        <x:v>ANIM-055</x:v>
      </x:c>
      <x:c r="B59" s="21" t="str">
        <x:v>Core locomotion</x:v>
      </x:c>
      <x:c r="C59" s="21" t="str">
        <x:v>Walk cycle</x:v>
      </x:c>
      <x:c r="D59" s="21" t="str">
        <x:v>First person</x:v>
      </x:c>
      <x:c r="E59" s="21" t="str">
        <x:v>Forward-left</x:v>
      </x:c>
      <x:c r="F59" s="27" t="str">
        <x:v>Required</x:v>
      </x:c>
      <x:c r="G59" s="27" t="str">
        <x:v>P1</x:v>
      </x:c>
      <x:c r="H59" s="27" t="str">
        <x:v>Not Started</x:v>
      </x:c>
      <x:c r="I59" s="27" t="str">
        <x:v>Janfon</x:v>
      </x:c>
      <x:c r="J59" s="21" t="str">
        <x:v>Looping FBX clip</x:v>
      </x:c>
      <x:c r="K59" s="21" t="str">
        <x:v>Direction reads clearly at gameplay distance; foot contacts do not slide; cycle blends with adjacent walk directions.</x:v>
      </x:c>
      <x:c r="L59" s="21" t="str">
        <x:v>SRC-001: scripts/unit_extensions/default_player_unit/states/; SRC-015: scripts/helpers/locomotion_utils.lua</x:v>
      </x:c>
      <x:c r="M59" s="21" t="str"/>
    </x:row>
    <x:row r="60" ht="46" customHeight="1">
      <x:c r="A60" s="24" t="str">
        <x:v>ANIM-056</x:v>
      </x:c>
      <x:c r="B60" s="21" t="str">
        <x:v>Core locomotion</x:v>
      </x:c>
      <x:c r="C60" s="21" t="str">
        <x:v>Walk cycle</x:v>
      </x:c>
      <x:c r="D60" s="21" t="str">
        <x:v>First person</x:v>
      </x:c>
      <x:c r="E60" s="21" t="str">
        <x:v>Left</x:v>
      </x:c>
      <x:c r="F60" s="27" t="str">
        <x:v>Required</x:v>
      </x:c>
      <x:c r="G60" s="27" t="str">
        <x:v>P1</x:v>
      </x:c>
      <x:c r="H60" s="27" t="str">
        <x:v>Not Started</x:v>
      </x:c>
      <x:c r="I60" s="27" t="str">
        <x:v>Janfon</x:v>
      </x:c>
      <x:c r="J60" s="21" t="str">
        <x:v>Looping FBX clip</x:v>
      </x:c>
      <x:c r="K60" s="21" t="str">
        <x:v>Direction reads clearly at gameplay distance; foot contacts do not slide; cycle blends with adjacent walk directions.</x:v>
      </x:c>
      <x:c r="L60" s="21" t="str">
        <x:v>SRC-001: scripts/unit_extensions/default_player_unit/states/; SRC-015: scripts/helpers/locomotion_utils.lua</x:v>
      </x:c>
      <x:c r="M60" s="21" t="str"/>
    </x:row>
    <x:row r="61" ht="46" customHeight="1">
      <x:c r="A61" s="24" t="str">
        <x:v>ANIM-057</x:v>
      </x:c>
      <x:c r="B61" s="21" t="str">
        <x:v>Core locomotion</x:v>
      </x:c>
      <x:c r="C61" s="21" t="str">
        <x:v>Walk cycle</x:v>
      </x:c>
      <x:c r="D61" s="21" t="str">
        <x:v>First person</x:v>
      </x:c>
      <x:c r="E61" s="21" t="str">
        <x:v>Back-left</x:v>
      </x:c>
      <x:c r="F61" s="27" t="str">
        <x:v>Required</x:v>
      </x:c>
      <x:c r="G61" s="27" t="str">
        <x:v>P1</x:v>
      </x:c>
      <x:c r="H61" s="27" t="str">
        <x:v>Not Started</x:v>
      </x:c>
      <x:c r="I61" s="27" t="str">
        <x:v>Janfon</x:v>
      </x:c>
      <x:c r="J61" s="21" t="str">
        <x:v>Looping FBX clip</x:v>
      </x:c>
      <x:c r="K61" s="21" t="str">
        <x:v>Direction reads clearly at gameplay distance; foot contacts do not slide; cycle blends with adjacent walk directions.</x:v>
      </x:c>
      <x:c r="L61" s="21" t="str">
        <x:v>SRC-001: scripts/unit_extensions/default_player_unit/states/; SRC-015: scripts/helpers/locomotion_utils.lua</x:v>
      </x:c>
      <x:c r="M61" s="21" t="str"/>
    </x:row>
    <x:row r="62" ht="46" customHeight="1">
      <x:c r="A62" s="24" t="str">
        <x:v>ANIM-058</x:v>
      </x:c>
      <x:c r="B62" s="21" t="str">
        <x:v>Core locomotion</x:v>
      </x:c>
      <x:c r="C62" s="21" t="str">
        <x:v>Walk cycle</x:v>
      </x:c>
      <x:c r="D62" s="21" t="str">
        <x:v>First person</x:v>
      </x:c>
      <x:c r="E62" s="21" t="str">
        <x:v>Backward</x:v>
      </x:c>
      <x:c r="F62" s="27" t="str">
        <x:v>Required</x:v>
      </x:c>
      <x:c r="G62" s="27" t="str">
        <x:v>P1</x:v>
      </x:c>
      <x:c r="H62" s="27" t="str">
        <x:v>Not Started</x:v>
      </x:c>
      <x:c r="I62" s="27" t="str">
        <x:v>Janfon</x:v>
      </x:c>
      <x:c r="J62" s="21" t="str">
        <x:v>Looping FBX clip</x:v>
      </x:c>
      <x:c r="K62" s="21" t="str">
        <x:v>Direction reads clearly at gameplay distance; foot contacts do not slide; cycle blends with adjacent walk directions.</x:v>
      </x:c>
      <x:c r="L62" s="21" t="str">
        <x:v>SRC-001: scripts/unit_extensions/default_player_unit/states/; SRC-015: scripts/helpers/locomotion_utils.lua</x:v>
      </x:c>
      <x:c r="M62" s="21" t="str"/>
    </x:row>
    <x:row r="63" ht="46" customHeight="1">
      <x:c r="A63" s="24" t="str">
        <x:v>ANIM-059</x:v>
      </x:c>
      <x:c r="B63" s="21" t="str">
        <x:v>Core locomotion</x:v>
      </x:c>
      <x:c r="C63" s="21" t="str">
        <x:v>Walk cycle</x:v>
      </x:c>
      <x:c r="D63" s="21" t="str">
        <x:v>First person</x:v>
      </x:c>
      <x:c r="E63" s="21" t="str">
        <x:v>Back-right</x:v>
      </x:c>
      <x:c r="F63" s="27" t="str">
        <x:v>Required</x:v>
      </x:c>
      <x:c r="G63" s="27" t="str">
        <x:v>P1</x:v>
      </x:c>
      <x:c r="H63" s="27" t="str">
        <x:v>Not Started</x:v>
      </x:c>
      <x:c r="I63" s="27" t="str">
        <x:v>Janfon</x:v>
      </x:c>
      <x:c r="J63" s="21" t="str">
        <x:v>Looping FBX clip</x:v>
      </x:c>
      <x:c r="K63" s="21" t="str">
        <x:v>Direction reads clearly at gameplay distance; foot contacts do not slide; cycle blends with adjacent walk directions.</x:v>
      </x:c>
      <x:c r="L63" s="21" t="str">
        <x:v>SRC-001: scripts/unit_extensions/default_player_unit/states/; SRC-015: scripts/helpers/locomotion_utils.lua</x:v>
      </x:c>
      <x:c r="M63" s="21" t="str"/>
    </x:row>
    <x:row r="64" ht="46" customHeight="1">
      <x:c r="A64" s="24" t="str">
        <x:v>ANIM-060</x:v>
      </x:c>
      <x:c r="B64" s="21" t="str">
        <x:v>Core locomotion</x:v>
      </x:c>
      <x:c r="C64" s="21" t="str">
        <x:v>Walk cycle</x:v>
      </x:c>
      <x:c r="D64" s="21" t="str">
        <x:v>First person</x:v>
      </x:c>
      <x:c r="E64" s="21" t="str">
        <x:v>Right</x:v>
      </x:c>
      <x:c r="F64" s="27" t="str">
        <x:v>Required</x:v>
      </x:c>
      <x:c r="G64" s="27" t="str">
        <x:v>P1</x:v>
      </x:c>
      <x:c r="H64" s="27" t="str">
        <x:v>Not Started</x:v>
      </x:c>
      <x:c r="I64" s="27" t="str">
        <x:v>Janfon</x:v>
      </x:c>
      <x:c r="J64" s="21" t="str">
        <x:v>Looping FBX clip</x:v>
      </x:c>
      <x:c r="K64" s="21" t="str">
        <x:v>Direction reads clearly at gameplay distance; foot contacts do not slide; cycle blends with adjacent walk directions.</x:v>
      </x:c>
      <x:c r="L64" s="21" t="str">
        <x:v>SRC-001: scripts/unit_extensions/default_player_unit/states/; SRC-015: scripts/helpers/locomotion_utils.lua</x:v>
      </x:c>
      <x:c r="M64" s="21" t="str"/>
    </x:row>
    <x:row r="65" ht="46" customHeight="1">
      <x:c r="A65" s="24" t="str">
        <x:v>ANIM-061</x:v>
      </x:c>
      <x:c r="B65" s="21" t="str">
        <x:v>Core locomotion</x:v>
      </x:c>
      <x:c r="C65" s="21" t="str">
        <x:v>Walk cycle</x:v>
      </x:c>
      <x:c r="D65" s="21" t="str">
        <x:v>First person</x:v>
      </x:c>
      <x:c r="E65" s="21" t="str">
        <x:v>Forward-right</x:v>
      </x:c>
      <x:c r="F65" s="27" t="str">
        <x:v>Required</x:v>
      </x:c>
      <x:c r="G65" s="27" t="str">
        <x:v>P1</x:v>
      </x:c>
      <x:c r="H65" s="27" t="str">
        <x:v>Not Started</x:v>
      </x:c>
      <x:c r="I65" s="27" t="str">
        <x:v>Janfon</x:v>
      </x:c>
      <x:c r="J65" s="21" t="str">
        <x:v>Looping FBX clip</x:v>
      </x:c>
      <x:c r="K65" s="21" t="str">
        <x:v>Direction reads clearly at gameplay distance; foot contacts do not slide; cycle blends with adjacent walk directions.</x:v>
      </x:c>
      <x:c r="L65" s="21" t="str">
        <x:v>SRC-001: scripts/unit_extensions/default_player_unit/states/; SRC-015: scripts/helpers/locomotion_utils.lua</x:v>
      </x:c>
      <x:c r="M65" s="21" t="str"/>
    </x:row>
    <x:row r="66" ht="46" customHeight="1">
      <x:c r="A66" s="24" t="str">
        <x:v>ANIM-062</x:v>
      </x:c>
      <x:c r="B66" s="21" t="str">
        <x:v>Core locomotion</x:v>
      </x:c>
      <x:c r="C66" s="21" t="str">
        <x:v>Run cycle</x:v>
      </x:c>
      <x:c r="D66" s="21" t="str">
        <x:v>First person</x:v>
      </x:c>
      <x:c r="E66" s="21" t="str">
        <x:v>Forward</x:v>
      </x:c>
      <x:c r="F66" s="27" t="str">
        <x:v>Required</x:v>
      </x:c>
      <x:c r="G66" s="27" t="str">
        <x:v>P0</x:v>
      </x:c>
      <x:c r="H66" s="27" t="str">
        <x:v>Not Started</x:v>
      </x:c>
      <x:c r="I66" s="27" t="str">
        <x:v>Janfon</x:v>
      </x:c>
      <x:c r="J66" s="21" t="str">
        <x:v>Looping FBX clip</x:v>
      </x:c>
      <x:c r="K66" s="21" t="str">
        <x:v>Direction reads clearly at gameplay distance; foot contacts do not slide; cycle blends with adjacent run directions.</x:v>
      </x:c>
      <x:c r="L66" s="21" t="str">
        <x:v>SRC-001: scripts/unit_extensions/default_player_unit/states/; SRC-015: scripts/helpers/locomotion_utils.lua</x:v>
      </x:c>
      <x:c r="M66" s="21" t="str"/>
    </x:row>
    <x:row r="67" ht="46" customHeight="1">
      <x:c r="A67" s="24" t="str">
        <x:v>ANIM-063</x:v>
      </x:c>
      <x:c r="B67" s="21" t="str">
        <x:v>Core locomotion</x:v>
      </x:c>
      <x:c r="C67" s="21" t="str">
        <x:v>Run cycle</x:v>
      </x:c>
      <x:c r="D67" s="21" t="str">
        <x:v>First person</x:v>
      </x:c>
      <x:c r="E67" s="21" t="str">
        <x:v>Forward-left</x:v>
      </x:c>
      <x:c r="F67" s="27" t="str">
        <x:v>Required</x:v>
      </x:c>
      <x:c r="G67" s="27" t="str">
        <x:v>P0</x:v>
      </x:c>
      <x:c r="H67" s="27" t="str">
        <x:v>Not Started</x:v>
      </x:c>
      <x:c r="I67" s="27" t="str">
        <x:v>Janfon</x:v>
      </x:c>
      <x:c r="J67" s="21" t="str">
        <x:v>Looping FBX clip</x:v>
      </x:c>
      <x:c r="K67" s="21" t="str">
        <x:v>Direction reads clearly at gameplay distance; foot contacts do not slide; cycle blends with adjacent run directions.</x:v>
      </x:c>
      <x:c r="L67" s="21" t="str">
        <x:v>SRC-001: scripts/unit_extensions/default_player_unit/states/; SRC-015: scripts/helpers/locomotion_utils.lua</x:v>
      </x:c>
      <x:c r="M67" s="21" t="str"/>
    </x:row>
    <x:row r="68" ht="46" customHeight="1">
      <x:c r="A68" s="24" t="str">
        <x:v>ANIM-064</x:v>
      </x:c>
      <x:c r="B68" s="21" t="str">
        <x:v>Core locomotion</x:v>
      </x:c>
      <x:c r="C68" s="21" t="str">
        <x:v>Run cycle</x:v>
      </x:c>
      <x:c r="D68" s="21" t="str">
        <x:v>First person</x:v>
      </x:c>
      <x:c r="E68" s="21" t="str">
        <x:v>Left</x:v>
      </x:c>
      <x:c r="F68" s="27" t="str">
        <x:v>Required</x:v>
      </x:c>
      <x:c r="G68" s="27" t="str">
        <x:v>P0</x:v>
      </x:c>
      <x:c r="H68" s="27" t="str">
        <x:v>Not Started</x:v>
      </x:c>
      <x:c r="I68" s="27" t="str">
        <x:v>Janfon</x:v>
      </x:c>
      <x:c r="J68" s="21" t="str">
        <x:v>Looping FBX clip</x:v>
      </x:c>
      <x:c r="K68" s="21" t="str">
        <x:v>Direction reads clearly at gameplay distance; foot contacts do not slide; cycle blends with adjacent run directions.</x:v>
      </x:c>
      <x:c r="L68" s="21" t="str">
        <x:v>SRC-001: scripts/unit_extensions/default_player_unit/states/; SRC-015: scripts/helpers/locomotion_utils.lua</x:v>
      </x:c>
      <x:c r="M68" s="21" t="str"/>
    </x:row>
    <x:row r="69" ht="46" customHeight="1">
      <x:c r="A69" s="24" t="str">
        <x:v>ANIM-065</x:v>
      </x:c>
      <x:c r="B69" s="21" t="str">
        <x:v>Core locomotion</x:v>
      </x:c>
      <x:c r="C69" s="21" t="str">
        <x:v>Run cycle</x:v>
      </x:c>
      <x:c r="D69" s="21" t="str">
        <x:v>First person</x:v>
      </x:c>
      <x:c r="E69" s="21" t="str">
        <x:v>Back-left</x:v>
      </x:c>
      <x:c r="F69" s="27" t="str">
        <x:v>Required</x:v>
      </x:c>
      <x:c r="G69" s="27" t="str">
        <x:v>P0</x:v>
      </x:c>
      <x:c r="H69" s="27" t="str">
        <x:v>Not Started</x:v>
      </x:c>
      <x:c r="I69" s="27" t="str">
        <x:v>Janfon</x:v>
      </x:c>
      <x:c r="J69" s="21" t="str">
        <x:v>Looping FBX clip</x:v>
      </x:c>
      <x:c r="K69" s="21" t="str">
        <x:v>Direction reads clearly at gameplay distance; foot contacts do not slide; cycle blends with adjacent run directions.</x:v>
      </x:c>
      <x:c r="L69" s="21" t="str">
        <x:v>SRC-001: scripts/unit_extensions/default_player_unit/states/; SRC-015: scripts/helpers/locomotion_utils.lua</x:v>
      </x:c>
      <x:c r="M69" s="21" t="str"/>
    </x:row>
    <x:row r="70" ht="46" customHeight="1">
      <x:c r="A70" s="24" t="str">
        <x:v>ANIM-066</x:v>
      </x:c>
      <x:c r="B70" s="21" t="str">
        <x:v>Core locomotion</x:v>
      </x:c>
      <x:c r="C70" s="21" t="str">
        <x:v>Run cycle</x:v>
      </x:c>
      <x:c r="D70" s="21" t="str">
        <x:v>First person</x:v>
      </x:c>
      <x:c r="E70" s="21" t="str">
        <x:v>Backward</x:v>
      </x:c>
      <x:c r="F70" s="27" t="str">
        <x:v>Required</x:v>
      </x:c>
      <x:c r="G70" s="27" t="str">
        <x:v>P0</x:v>
      </x:c>
      <x:c r="H70" s="27" t="str">
        <x:v>Not Started</x:v>
      </x:c>
      <x:c r="I70" s="27" t="str">
        <x:v>Janfon</x:v>
      </x:c>
      <x:c r="J70" s="21" t="str">
        <x:v>Looping FBX clip</x:v>
      </x:c>
      <x:c r="K70" s="21" t="str">
        <x:v>Direction reads clearly at gameplay distance; foot contacts do not slide; cycle blends with adjacent run directions.</x:v>
      </x:c>
      <x:c r="L70" s="21" t="str">
        <x:v>SRC-001: scripts/unit_extensions/default_player_unit/states/; SRC-015: scripts/helpers/locomotion_utils.lua</x:v>
      </x:c>
      <x:c r="M70" s="21" t="str"/>
    </x:row>
    <x:row r="71" ht="46" customHeight="1">
      <x:c r="A71" s="24" t="str">
        <x:v>ANIM-067</x:v>
      </x:c>
      <x:c r="B71" s="21" t="str">
        <x:v>Core locomotion</x:v>
      </x:c>
      <x:c r="C71" s="21" t="str">
        <x:v>Run cycle</x:v>
      </x:c>
      <x:c r="D71" s="21" t="str">
        <x:v>First person</x:v>
      </x:c>
      <x:c r="E71" s="21" t="str">
        <x:v>Back-right</x:v>
      </x:c>
      <x:c r="F71" s="27" t="str">
        <x:v>Required</x:v>
      </x:c>
      <x:c r="G71" s="27" t="str">
        <x:v>P0</x:v>
      </x:c>
      <x:c r="H71" s="27" t="str">
        <x:v>Not Started</x:v>
      </x:c>
      <x:c r="I71" s="27" t="str">
        <x:v>Janfon</x:v>
      </x:c>
      <x:c r="J71" s="21" t="str">
        <x:v>Looping FBX clip</x:v>
      </x:c>
      <x:c r="K71" s="21" t="str">
        <x:v>Direction reads clearly at gameplay distance; foot contacts do not slide; cycle blends with adjacent run directions.</x:v>
      </x:c>
      <x:c r="L71" s="21" t="str">
        <x:v>SRC-001: scripts/unit_extensions/default_player_unit/states/; SRC-015: scripts/helpers/locomotion_utils.lua</x:v>
      </x:c>
      <x:c r="M71" s="21" t="str"/>
    </x:row>
    <x:row r="72" ht="46" customHeight="1">
      <x:c r="A72" s="24" t="str">
        <x:v>ANIM-068</x:v>
      </x:c>
      <x:c r="B72" s="21" t="str">
        <x:v>Core locomotion</x:v>
      </x:c>
      <x:c r="C72" s="21" t="str">
        <x:v>Run cycle</x:v>
      </x:c>
      <x:c r="D72" s="21" t="str">
        <x:v>First person</x:v>
      </x:c>
      <x:c r="E72" s="21" t="str">
        <x:v>Right</x:v>
      </x:c>
      <x:c r="F72" s="27" t="str">
        <x:v>Required</x:v>
      </x:c>
      <x:c r="G72" s="27" t="str">
        <x:v>P0</x:v>
      </x:c>
      <x:c r="H72" s="27" t="str">
        <x:v>Not Started</x:v>
      </x:c>
      <x:c r="I72" s="27" t="str">
        <x:v>Janfon</x:v>
      </x:c>
      <x:c r="J72" s="21" t="str">
        <x:v>Looping FBX clip</x:v>
      </x:c>
      <x:c r="K72" s="21" t="str">
        <x:v>Direction reads clearly at gameplay distance; foot contacts do not slide; cycle blends with adjacent run directions.</x:v>
      </x:c>
      <x:c r="L72" s="21" t="str">
        <x:v>SRC-001: scripts/unit_extensions/default_player_unit/states/; SRC-015: scripts/helpers/locomotion_utils.lua</x:v>
      </x:c>
      <x:c r="M72" s="21" t="str"/>
    </x:row>
    <x:row r="73" ht="46" customHeight="1">
      <x:c r="A73" s="24" t="str">
        <x:v>ANIM-069</x:v>
      </x:c>
      <x:c r="B73" s="21" t="str">
        <x:v>Core locomotion</x:v>
      </x:c>
      <x:c r="C73" s="21" t="str">
        <x:v>Run cycle</x:v>
      </x:c>
      <x:c r="D73" s="21" t="str">
        <x:v>First person</x:v>
      </x:c>
      <x:c r="E73" s="21" t="str">
        <x:v>Forward-right</x:v>
      </x:c>
      <x:c r="F73" s="27" t="str">
        <x:v>Required</x:v>
      </x:c>
      <x:c r="G73" s="27" t="str">
        <x:v>P0</x:v>
      </x:c>
      <x:c r="H73" s="27" t="str">
        <x:v>Not Started</x:v>
      </x:c>
      <x:c r="I73" s="27" t="str">
        <x:v>Janfon</x:v>
      </x:c>
      <x:c r="J73" s="21" t="str">
        <x:v>Looping FBX clip</x:v>
      </x:c>
      <x:c r="K73" s="21" t="str">
        <x:v>Direction reads clearly at gameplay distance; foot contacts do not slide; cycle blends with adjacent run directions.</x:v>
      </x:c>
      <x:c r="L73" s="21" t="str">
        <x:v>SRC-001: scripts/unit_extensions/default_player_unit/states/; SRC-015: scripts/helpers/locomotion_utils.lua</x:v>
      </x:c>
      <x:c r="M73" s="21" t="str"/>
    </x:row>
    <x:row r="74" ht="46" customHeight="1">
      <x:c r="A74" s="24" t="str">
        <x:v>ANIM-070</x:v>
      </x:c>
      <x:c r="B74" s="21" t="str">
        <x:v>Core locomotion</x:v>
      </x:c>
      <x:c r="C74" s="21" t="str">
        <x:v>Crouch walk cycle</x:v>
      </x:c>
      <x:c r="D74" s="21" t="str">
        <x:v>First person</x:v>
      </x:c>
      <x:c r="E74" s="21" t="str">
        <x:v>Forward</x:v>
      </x:c>
      <x:c r="F74" s="27" t="str">
        <x:v>Conditional</x:v>
      </x:c>
      <x:c r="G74" s="27" t="str">
        <x:v>P1</x:v>
      </x:c>
      <x:c r="H74" s="27" t="str">
        <x:v>Not Started</x:v>
      </x:c>
      <x:c r="I74" s="27" t="str">
        <x:v>Janfon</x:v>
      </x:c>
      <x:c r="J74" s="21" t="str">
        <x:v>Looping FBX clip</x:v>
      </x:c>
      <x:c r="K74" s="21" t="str">
        <x:v>Direction reads clearly at gameplay distance; foot contacts do not slide; cycle blends with adjacent crouch walk directions.</x:v>
      </x:c>
      <x:c r="L74" s="21" t="str">
        <x:v>SRC-001: scripts/unit_extensions/default_player_unit/states/; SRC-015: scripts/helpers/locomotion_utils.lua</x:v>
      </x:c>
      <x:c r="M74" s="21" t="str"/>
    </x:row>
    <x:row r="75" ht="46" customHeight="1">
      <x:c r="A75" s="24" t="str">
        <x:v>ANIM-071</x:v>
      </x:c>
      <x:c r="B75" s="21" t="str">
        <x:v>Core locomotion</x:v>
      </x:c>
      <x:c r="C75" s="21" t="str">
        <x:v>Crouch walk cycle</x:v>
      </x:c>
      <x:c r="D75" s="21" t="str">
        <x:v>First person</x:v>
      </x:c>
      <x:c r="E75" s="21" t="str">
        <x:v>Forward-left</x:v>
      </x:c>
      <x:c r="F75" s="27" t="str">
        <x:v>Conditional</x:v>
      </x:c>
      <x:c r="G75" s="27" t="str">
        <x:v>P1</x:v>
      </x:c>
      <x:c r="H75" s="27" t="str">
        <x:v>Not Started</x:v>
      </x:c>
      <x:c r="I75" s="27" t="str">
        <x:v>Janfon</x:v>
      </x:c>
      <x:c r="J75" s="21" t="str">
        <x:v>Looping FBX clip</x:v>
      </x:c>
      <x:c r="K75" s="21" t="str">
        <x:v>Direction reads clearly at gameplay distance; foot contacts do not slide; cycle blends with adjacent crouch walk directions.</x:v>
      </x:c>
      <x:c r="L75" s="21" t="str">
        <x:v>SRC-001: scripts/unit_extensions/default_player_unit/states/; SRC-015: scripts/helpers/locomotion_utils.lua</x:v>
      </x:c>
      <x:c r="M75" s="21" t="str"/>
    </x:row>
    <x:row r="76" ht="46" customHeight="1">
      <x:c r="A76" s="24" t="str">
        <x:v>ANIM-072</x:v>
      </x:c>
      <x:c r="B76" s="21" t="str">
        <x:v>Core locomotion</x:v>
      </x:c>
      <x:c r="C76" s="21" t="str">
        <x:v>Crouch walk cycle</x:v>
      </x:c>
      <x:c r="D76" s="21" t="str">
        <x:v>First person</x:v>
      </x:c>
      <x:c r="E76" s="21" t="str">
        <x:v>Left</x:v>
      </x:c>
      <x:c r="F76" s="27" t="str">
        <x:v>Conditional</x:v>
      </x:c>
      <x:c r="G76" s="27" t="str">
        <x:v>P1</x:v>
      </x:c>
      <x:c r="H76" s="27" t="str">
        <x:v>Not Started</x:v>
      </x:c>
      <x:c r="I76" s="27" t="str">
        <x:v>Janfon</x:v>
      </x:c>
      <x:c r="J76" s="21" t="str">
        <x:v>Looping FBX clip</x:v>
      </x:c>
      <x:c r="K76" s="21" t="str">
        <x:v>Direction reads clearly at gameplay distance; foot contacts do not slide; cycle blends with adjacent crouch walk directions.</x:v>
      </x:c>
      <x:c r="L76" s="21" t="str">
        <x:v>SRC-001: scripts/unit_extensions/default_player_unit/states/; SRC-015: scripts/helpers/locomotion_utils.lua</x:v>
      </x:c>
      <x:c r="M76" s="21" t="str"/>
    </x:row>
    <x:row r="77" ht="46" customHeight="1">
      <x:c r="A77" s="24" t="str">
        <x:v>ANIM-073</x:v>
      </x:c>
      <x:c r="B77" s="21" t="str">
        <x:v>Core locomotion</x:v>
      </x:c>
      <x:c r="C77" s="21" t="str">
        <x:v>Crouch walk cycle</x:v>
      </x:c>
      <x:c r="D77" s="21" t="str">
        <x:v>First person</x:v>
      </x:c>
      <x:c r="E77" s="21" t="str">
        <x:v>Back-left</x:v>
      </x:c>
      <x:c r="F77" s="27" t="str">
        <x:v>Conditional</x:v>
      </x:c>
      <x:c r="G77" s="27" t="str">
        <x:v>P1</x:v>
      </x:c>
      <x:c r="H77" s="27" t="str">
        <x:v>Not Started</x:v>
      </x:c>
      <x:c r="I77" s="27" t="str">
        <x:v>Janfon</x:v>
      </x:c>
      <x:c r="J77" s="21" t="str">
        <x:v>Looping FBX clip</x:v>
      </x:c>
      <x:c r="K77" s="21" t="str">
        <x:v>Direction reads clearly at gameplay distance; foot contacts do not slide; cycle blends with adjacent crouch walk directions.</x:v>
      </x:c>
      <x:c r="L77" s="21" t="str">
        <x:v>SRC-001: scripts/unit_extensions/default_player_unit/states/; SRC-015: scripts/helpers/locomotion_utils.lua</x:v>
      </x:c>
      <x:c r="M77" s="21" t="str"/>
    </x:row>
    <x:row r="78" ht="46" customHeight="1">
      <x:c r="A78" s="24" t="str">
        <x:v>ANIM-074</x:v>
      </x:c>
      <x:c r="B78" s="21" t="str">
        <x:v>Core locomotion</x:v>
      </x:c>
      <x:c r="C78" s="21" t="str">
        <x:v>Crouch walk cycle</x:v>
      </x:c>
      <x:c r="D78" s="21" t="str">
        <x:v>First person</x:v>
      </x:c>
      <x:c r="E78" s="21" t="str">
        <x:v>Backward</x:v>
      </x:c>
      <x:c r="F78" s="27" t="str">
        <x:v>Conditional</x:v>
      </x:c>
      <x:c r="G78" s="27" t="str">
        <x:v>P1</x:v>
      </x:c>
      <x:c r="H78" s="27" t="str">
        <x:v>Not Started</x:v>
      </x:c>
      <x:c r="I78" s="27" t="str">
        <x:v>Janfon</x:v>
      </x:c>
      <x:c r="J78" s="21" t="str">
        <x:v>Looping FBX clip</x:v>
      </x:c>
      <x:c r="K78" s="21" t="str">
        <x:v>Direction reads clearly at gameplay distance; foot contacts do not slide; cycle blends with adjacent crouch walk directions.</x:v>
      </x:c>
      <x:c r="L78" s="21" t="str">
        <x:v>SRC-001: scripts/unit_extensions/default_player_unit/states/; SRC-015: scripts/helpers/locomotion_utils.lua</x:v>
      </x:c>
      <x:c r="M78" s="21" t="str"/>
    </x:row>
    <x:row r="79" ht="46" customHeight="1">
      <x:c r="A79" s="24" t="str">
        <x:v>ANIM-075</x:v>
      </x:c>
      <x:c r="B79" s="21" t="str">
        <x:v>Core locomotion</x:v>
      </x:c>
      <x:c r="C79" s="21" t="str">
        <x:v>Crouch walk cycle</x:v>
      </x:c>
      <x:c r="D79" s="21" t="str">
        <x:v>First person</x:v>
      </x:c>
      <x:c r="E79" s="21" t="str">
        <x:v>Back-right</x:v>
      </x:c>
      <x:c r="F79" s="27" t="str">
        <x:v>Conditional</x:v>
      </x:c>
      <x:c r="G79" s="27" t="str">
        <x:v>P1</x:v>
      </x:c>
      <x:c r="H79" s="27" t="str">
        <x:v>Not Started</x:v>
      </x:c>
      <x:c r="I79" s="27" t="str">
        <x:v>Janfon</x:v>
      </x:c>
      <x:c r="J79" s="21" t="str">
        <x:v>Looping FBX clip</x:v>
      </x:c>
      <x:c r="K79" s="21" t="str">
        <x:v>Direction reads clearly at gameplay distance; foot contacts do not slide; cycle blends with adjacent crouch walk directions.</x:v>
      </x:c>
      <x:c r="L79" s="21" t="str">
        <x:v>SRC-001: scripts/unit_extensions/default_player_unit/states/; SRC-015: scripts/helpers/locomotion_utils.lua</x:v>
      </x:c>
      <x:c r="M79" s="21" t="str"/>
    </x:row>
    <x:row r="80" ht="46" customHeight="1">
      <x:c r="A80" s="24" t="str">
        <x:v>ANIM-076</x:v>
      </x:c>
      <x:c r="B80" s="21" t="str">
        <x:v>Core locomotion</x:v>
      </x:c>
      <x:c r="C80" s="21" t="str">
        <x:v>Crouch walk cycle</x:v>
      </x:c>
      <x:c r="D80" s="21" t="str">
        <x:v>First person</x:v>
      </x:c>
      <x:c r="E80" s="21" t="str">
        <x:v>Right</x:v>
      </x:c>
      <x:c r="F80" s="27" t="str">
        <x:v>Conditional</x:v>
      </x:c>
      <x:c r="G80" s="27" t="str">
        <x:v>P1</x:v>
      </x:c>
      <x:c r="H80" s="27" t="str">
        <x:v>Not Started</x:v>
      </x:c>
      <x:c r="I80" s="27" t="str">
        <x:v>Janfon</x:v>
      </x:c>
      <x:c r="J80" s="21" t="str">
        <x:v>Looping FBX clip</x:v>
      </x:c>
      <x:c r="K80" s="21" t="str">
        <x:v>Direction reads clearly at gameplay distance; foot contacts do not slide; cycle blends with adjacent crouch walk directions.</x:v>
      </x:c>
      <x:c r="L80" s="21" t="str">
        <x:v>SRC-001: scripts/unit_extensions/default_player_unit/states/; SRC-015: scripts/helpers/locomotion_utils.lua</x:v>
      </x:c>
      <x:c r="M80" s="21" t="str"/>
    </x:row>
    <x:row r="81" ht="46" customHeight="1">
      <x:c r="A81" s="24" t="str">
        <x:v>ANIM-077</x:v>
      </x:c>
      <x:c r="B81" s="21" t="str">
        <x:v>Core locomotion</x:v>
      </x:c>
      <x:c r="C81" s="21" t="str">
        <x:v>Crouch walk cycle</x:v>
      </x:c>
      <x:c r="D81" s="21" t="str">
        <x:v>First person</x:v>
      </x:c>
      <x:c r="E81" s="21" t="str">
        <x:v>Forward-right</x:v>
      </x:c>
      <x:c r="F81" s="27" t="str">
        <x:v>Conditional</x:v>
      </x:c>
      <x:c r="G81" s="27" t="str">
        <x:v>P1</x:v>
      </x:c>
      <x:c r="H81" s="27" t="str">
        <x:v>Not Started</x:v>
      </x:c>
      <x:c r="I81" s="27" t="str">
        <x:v>Janfon</x:v>
      </x:c>
      <x:c r="J81" s="21" t="str">
        <x:v>Looping FBX clip</x:v>
      </x:c>
      <x:c r="K81" s="21" t="str">
        <x:v>Direction reads clearly at gameplay distance; foot contacts do not slide; cycle blends with adjacent crouch walk directions.</x:v>
      </x:c>
      <x:c r="L81" s="21" t="str">
        <x:v>SRC-001: scripts/unit_extensions/default_player_unit/states/; SRC-015: scripts/helpers/locomotion_utils.lua</x:v>
      </x:c>
      <x:c r="M81" s="21" t="str"/>
    </x:row>
    <x:row r="82" ht="46" customHeight="1">
      <x:c r="A82" s="24" t="str">
        <x:v>ANIM-078</x:v>
      </x:c>
      <x:c r="B82" s="21" t="str">
        <x:v>Core locomotion</x:v>
      </x:c>
      <x:c r="C82" s="21" t="str">
        <x:v>Locomotion transition</x:v>
      </x:c>
      <x:c r="D82" s="21" t="str">
        <x:v>First person</x:v>
      </x:c>
      <x:c r="E82" s="21" t="str">
        <x:v>Idle to walk</x:v>
      </x:c>
      <x:c r="F82" s="27" t="str">
        <x:v>Required</x:v>
      </x:c>
      <x:c r="G82" s="27" t="str">
        <x:v>P1</x:v>
      </x:c>
      <x:c r="H82" s="27" t="str">
        <x:v>Not Started</x:v>
      </x:c>
      <x:c r="I82" s="27" t="str">
        <x:v>Janfon</x:v>
      </x:c>
      <x:c r="J82" s="21" t="str">
        <x:v>One-shot FBX clip</x:v>
      </x:c>
      <x:c r="K82" s="21" t="str">
        <x:v>No teleport or scale key; feet settle at the donor transition timing.</x:v>
      </x:c>
      <x:c r="L82" s="21" t="str">
        <x:v>SRC-001: scripts/unit_extensions/default_player_unit/states/; SRC-015: scripts/helpers/locomotion_utils.lua</x:v>
      </x:c>
      <x:c r="M82" s="21" t="str"/>
    </x:row>
    <x:row r="83" ht="46" customHeight="1">
      <x:c r="A83" s="24" t="str">
        <x:v>ANIM-079</x:v>
      </x:c>
      <x:c r="B83" s="21" t="str">
        <x:v>Core locomotion</x:v>
      </x:c>
      <x:c r="C83" s="21" t="str">
        <x:v>Locomotion transition</x:v>
      </x:c>
      <x:c r="D83" s="21" t="str">
        <x:v>First person</x:v>
      </x:c>
      <x:c r="E83" s="21" t="str">
        <x:v>Idle to run</x:v>
      </x:c>
      <x:c r="F83" s="27" t="str">
        <x:v>Required</x:v>
      </x:c>
      <x:c r="G83" s="27" t="str">
        <x:v>P1</x:v>
      </x:c>
      <x:c r="H83" s="27" t="str">
        <x:v>Not Started</x:v>
      </x:c>
      <x:c r="I83" s="27" t="str">
        <x:v>Janfon</x:v>
      </x:c>
      <x:c r="J83" s="21" t="str">
        <x:v>One-shot FBX clip</x:v>
      </x:c>
      <x:c r="K83" s="21" t="str">
        <x:v>No teleport or scale key; feet settle at the donor transition timing.</x:v>
      </x:c>
      <x:c r="L83" s="21" t="str">
        <x:v>SRC-001: scripts/unit_extensions/default_player_unit/states/; SRC-015: scripts/helpers/locomotion_utils.lua</x:v>
      </x:c>
      <x:c r="M83" s="21" t="str"/>
    </x:row>
    <x:row r="84" ht="46" customHeight="1">
      <x:c r="A84" s="24" t="str">
        <x:v>ANIM-080</x:v>
      </x:c>
      <x:c r="B84" s="21" t="str">
        <x:v>Core locomotion</x:v>
      </x:c>
      <x:c r="C84" s="21" t="str">
        <x:v>Locomotion transition</x:v>
      </x:c>
      <x:c r="D84" s="21" t="str">
        <x:v>First person</x:v>
      </x:c>
      <x:c r="E84" s="21" t="str">
        <x:v>Walk/run to idle</x:v>
      </x:c>
      <x:c r="F84" s="27" t="str">
        <x:v>Required</x:v>
      </x:c>
      <x:c r="G84" s="27" t="str">
        <x:v>P1</x:v>
      </x:c>
      <x:c r="H84" s="27" t="str">
        <x:v>Not Started</x:v>
      </x:c>
      <x:c r="I84" s="27" t="str">
        <x:v>Janfon</x:v>
      </x:c>
      <x:c r="J84" s="21" t="str">
        <x:v>One-shot FBX clip</x:v>
      </x:c>
      <x:c r="K84" s="21" t="str">
        <x:v>No teleport or scale key; feet settle at the donor transition timing.</x:v>
      </x:c>
      <x:c r="L84" s="21" t="str">
        <x:v>SRC-001: scripts/unit_extensions/default_player_unit/states/; SRC-015: scripts/helpers/locomotion_utils.lua</x:v>
      </x:c>
      <x:c r="M84" s="21" t="str"/>
    </x:row>
    <x:row r="85" ht="46" customHeight="1">
      <x:c r="A85" s="24" t="str">
        <x:v>ANIM-081</x:v>
      </x:c>
      <x:c r="B85" s="21" t="str">
        <x:v>Core locomotion</x:v>
      </x:c>
      <x:c r="C85" s="21" t="str">
        <x:v>Locomotion transition</x:v>
      </x:c>
      <x:c r="D85" s="21" t="str">
        <x:v>First person</x:v>
      </x:c>
      <x:c r="E85" s="21" t="str">
        <x:v>180-degree turn left</x:v>
      </x:c>
      <x:c r="F85" s="27" t="str">
        <x:v>Required</x:v>
      </x:c>
      <x:c r="G85" s="27" t="str">
        <x:v>P1</x:v>
      </x:c>
      <x:c r="H85" s="27" t="str">
        <x:v>Not Started</x:v>
      </x:c>
      <x:c r="I85" s="27" t="str">
        <x:v>Janfon</x:v>
      </x:c>
      <x:c r="J85" s="21" t="str">
        <x:v>One-shot FBX clip</x:v>
      </x:c>
      <x:c r="K85" s="21" t="str">
        <x:v>No teleport or scale key; feet settle at the donor transition timing.</x:v>
      </x:c>
      <x:c r="L85" s="21" t="str">
        <x:v>SRC-001: scripts/unit_extensions/default_player_unit/states/; SRC-015: scripts/helpers/locomotion_utils.lua</x:v>
      </x:c>
      <x:c r="M85" s="21" t="str"/>
    </x:row>
    <x:row r="86" ht="46" customHeight="1">
      <x:c r="A86" s="24" t="str">
        <x:v>ANIM-082</x:v>
      </x:c>
      <x:c r="B86" s="21" t="str">
        <x:v>Core locomotion</x:v>
      </x:c>
      <x:c r="C86" s="21" t="str">
        <x:v>Locomotion transition</x:v>
      </x:c>
      <x:c r="D86" s="21" t="str">
        <x:v>First person</x:v>
      </x:c>
      <x:c r="E86" s="21" t="str">
        <x:v>180-degree turn right</x:v>
      </x:c>
      <x:c r="F86" s="27" t="str">
        <x:v>Required</x:v>
      </x:c>
      <x:c r="G86" s="27" t="str">
        <x:v>P1</x:v>
      </x:c>
      <x:c r="H86" s="27" t="str">
        <x:v>Not Started</x:v>
      </x:c>
      <x:c r="I86" s="27" t="str">
        <x:v>Janfon</x:v>
      </x:c>
      <x:c r="J86" s="21" t="str">
        <x:v>One-shot FBX clip</x:v>
      </x:c>
      <x:c r="K86" s="21" t="str">
        <x:v>No teleport or scale key; feet settle at the donor transition timing.</x:v>
      </x:c>
      <x:c r="L86" s="21" t="str">
        <x:v>SRC-001: scripts/unit_extensions/default_player_unit/states/; SRC-015: scripts/helpers/locomotion_utils.lua</x:v>
      </x:c>
      <x:c r="M86" s="21" t="str"/>
    </x:row>
    <x:row r="87" ht="46" customHeight="1">
      <x:c r="A87" s="24" t="str">
        <x:v>ANIM-083</x:v>
      </x:c>
      <x:c r="B87" s="21" t="str">
        <x:v>Core locomotion</x:v>
      </x:c>
      <x:c r="C87" s="21" t="str">
        <x:v>Locomotion transition</x:v>
      </x:c>
      <x:c r="D87" s="21" t="str">
        <x:v>First person</x:v>
      </x:c>
      <x:c r="E87" s="21" t="str">
        <x:v>Turn in place left</x:v>
      </x:c>
      <x:c r="F87" s="27" t="str">
        <x:v>Required</x:v>
      </x:c>
      <x:c r="G87" s="27" t="str">
        <x:v>P1</x:v>
      </x:c>
      <x:c r="H87" s="27" t="str">
        <x:v>Not Started</x:v>
      </x:c>
      <x:c r="I87" s="27" t="str">
        <x:v>Janfon</x:v>
      </x:c>
      <x:c r="J87" s="21" t="str">
        <x:v>One-shot FBX clip</x:v>
      </x:c>
      <x:c r="K87" s="21" t="str">
        <x:v>No teleport or scale key; feet settle at the donor transition timing.</x:v>
      </x:c>
      <x:c r="L87" s="21" t="str">
        <x:v>SRC-001: scripts/unit_extensions/default_player_unit/states/; SRC-015: scripts/helpers/locomotion_utils.lua</x:v>
      </x:c>
      <x:c r="M87" s="21" t="str"/>
    </x:row>
    <x:row r="88" ht="46" customHeight="1">
      <x:c r="A88" s="24" t="str">
        <x:v>ANIM-084</x:v>
      </x:c>
      <x:c r="B88" s="21" t="str">
        <x:v>Core locomotion</x:v>
      </x:c>
      <x:c r="C88" s="21" t="str">
        <x:v>Locomotion transition</x:v>
      </x:c>
      <x:c r="D88" s="21" t="str">
        <x:v>First person</x:v>
      </x:c>
      <x:c r="E88" s="21" t="str">
        <x:v>Turn in place right</x:v>
      </x:c>
      <x:c r="F88" s="27" t="str">
        <x:v>Required</x:v>
      </x:c>
      <x:c r="G88" s="27" t="str">
        <x:v>P1</x:v>
      </x:c>
      <x:c r="H88" s="27" t="str">
        <x:v>Not Started</x:v>
      </x:c>
      <x:c r="I88" s="27" t="str">
        <x:v>Janfon</x:v>
      </x:c>
      <x:c r="J88" s="21" t="str">
        <x:v>One-shot FBX clip</x:v>
      </x:c>
      <x:c r="K88" s="21" t="str">
        <x:v>No teleport or scale key; feet settle at the donor transition timing.</x:v>
      </x:c>
      <x:c r="L88" s="21" t="str">
        <x:v>SRC-001: scripts/unit_extensions/default_player_unit/states/; SRC-015: scripts/helpers/locomotion_utils.lua</x:v>
      </x:c>
      <x:c r="M88" s="21" t="str"/>
    </x:row>
    <x:row r="89" ht="46" customHeight="1">
      <x:c r="A89" s="24" t="str">
        <x:v>ANIM-085</x:v>
      </x:c>
      <x:c r="B89" s="21" t="str">
        <x:v>Evasion</x:v>
      </x:c>
      <x:c r="C89" s="21" t="str">
        <x:v>Dodge</x:v>
      </x:c>
      <x:c r="D89" s="21" t="str">
        <x:v>First person</x:v>
      </x:c>
      <x:c r="E89" s="21" t="str">
        <x:v>Forward</x:v>
      </x:c>
      <x:c r="F89" s="27" t="str">
        <x:v>Required</x:v>
      </x:c>
      <x:c r="G89" s="27" t="str">
        <x:v>P0</x:v>
      </x:c>
      <x:c r="H89" s="27" t="str">
        <x:v>Not Started</x:v>
      </x:c>
      <x:c r="I89" s="27" t="str">
        <x:v>Janfon</x:v>
      </x:c>
      <x:c r="J89" s="21" t="str">
        <x:v>One-shot FBX clip</x:v>
      </x:c>
      <x:c r="K89" s="21" t="str">
        <x:v>Silhouette communicates dodge direction; blends back to idle/run without arm snapping.</x:v>
      </x:c>
      <x:c r="L89" s="21" t="str">
        <x:v>SRC-001: scripts/unit_extensions/default_player_unit/states/player_character_state_dodging.lua</x:v>
      </x:c>
      <x:c r="M89" s="21" t="str"/>
    </x:row>
    <x:row r="90" ht="46" customHeight="1">
      <x:c r="A90" s="24" t="str">
        <x:v>ANIM-086</x:v>
      </x:c>
      <x:c r="B90" s="21" t="str">
        <x:v>Evasion</x:v>
      </x:c>
      <x:c r="C90" s="21" t="str">
        <x:v>Dodge</x:v>
      </x:c>
      <x:c r="D90" s="21" t="str">
        <x:v>First person</x:v>
      </x:c>
      <x:c r="E90" s="21" t="str">
        <x:v>Forward-left</x:v>
      </x:c>
      <x:c r="F90" s="27" t="str">
        <x:v>Required</x:v>
      </x:c>
      <x:c r="G90" s="27" t="str">
        <x:v>P0</x:v>
      </x:c>
      <x:c r="H90" s="27" t="str">
        <x:v>Not Started</x:v>
      </x:c>
      <x:c r="I90" s="27" t="str">
        <x:v>Janfon</x:v>
      </x:c>
      <x:c r="J90" s="21" t="str">
        <x:v>One-shot FBX clip</x:v>
      </x:c>
      <x:c r="K90" s="21" t="str">
        <x:v>Silhouette communicates dodge direction; blends back to idle/run without arm snapping.</x:v>
      </x:c>
      <x:c r="L90" s="21" t="str">
        <x:v>SRC-001: scripts/unit_extensions/default_player_unit/states/player_character_state_dodging.lua</x:v>
      </x:c>
      <x:c r="M90" s="21" t="str"/>
    </x:row>
    <x:row r="91" ht="46" customHeight="1">
      <x:c r="A91" s="24" t="str">
        <x:v>ANIM-087</x:v>
      </x:c>
      <x:c r="B91" s="21" t="str">
        <x:v>Evasion</x:v>
      </x:c>
      <x:c r="C91" s="21" t="str">
        <x:v>Dodge</x:v>
      </x:c>
      <x:c r="D91" s="21" t="str">
        <x:v>First person</x:v>
      </x:c>
      <x:c r="E91" s="21" t="str">
        <x:v>Left</x:v>
      </x:c>
      <x:c r="F91" s="27" t="str">
        <x:v>Required</x:v>
      </x:c>
      <x:c r="G91" s="27" t="str">
        <x:v>P0</x:v>
      </x:c>
      <x:c r="H91" s="27" t="str">
        <x:v>Not Started</x:v>
      </x:c>
      <x:c r="I91" s="27" t="str">
        <x:v>Janfon</x:v>
      </x:c>
      <x:c r="J91" s="21" t="str">
        <x:v>One-shot FBX clip</x:v>
      </x:c>
      <x:c r="K91" s="21" t="str">
        <x:v>Silhouette communicates dodge direction; blends back to idle/run without arm snapping.</x:v>
      </x:c>
      <x:c r="L91" s="21" t="str">
        <x:v>SRC-001: scripts/unit_extensions/default_player_unit/states/player_character_state_dodging.lua</x:v>
      </x:c>
      <x:c r="M91" s="21" t="str"/>
    </x:row>
    <x:row r="92" ht="46" customHeight="1">
      <x:c r="A92" s="24" t="str">
        <x:v>ANIM-088</x:v>
      </x:c>
      <x:c r="B92" s="21" t="str">
        <x:v>Evasion</x:v>
      </x:c>
      <x:c r="C92" s="21" t="str">
        <x:v>Dodge</x:v>
      </x:c>
      <x:c r="D92" s="21" t="str">
        <x:v>First person</x:v>
      </x:c>
      <x:c r="E92" s="21" t="str">
        <x:v>Back-left</x:v>
      </x:c>
      <x:c r="F92" s="27" t="str">
        <x:v>Required</x:v>
      </x:c>
      <x:c r="G92" s="27" t="str">
        <x:v>P0</x:v>
      </x:c>
      <x:c r="H92" s="27" t="str">
        <x:v>Not Started</x:v>
      </x:c>
      <x:c r="I92" s="27" t="str">
        <x:v>Janfon</x:v>
      </x:c>
      <x:c r="J92" s="21" t="str">
        <x:v>One-shot FBX clip</x:v>
      </x:c>
      <x:c r="K92" s="21" t="str">
        <x:v>Silhouette communicates dodge direction; blends back to idle/run without arm snapping.</x:v>
      </x:c>
      <x:c r="L92" s="21" t="str">
        <x:v>SRC-001: scripts/unit_extensions/default_player_unit/states/player_character_state_dodging.lua</x:v>
      </x:c>
      <x:c r="M92" s="21" t="str"/>
    </x:row>
    <x:row r="93" ht="46" customHeight="1">
      <x:c r="A93" s="24" t="str">
        <x:v>ANIM-089</x:v>
      </x:c>
      <x:c r="B93" s="21" t="str">
        <x:v>Evasion</x:v>
      </x:c>
      <x:c r="C93" s="21" t="str">
        <x:v>Dodge</x:v>
      </x:c>
      <x:c r="D93" s="21" t="str">
        <x:v>First person</x:v>
      </x:c>
      <x:c r="E93" s="21" t="str">
        <x:v>Backward</x:v>
      </x:c>
      <x:c r="F93" s="27" t="str">
        <x:v>Required</x:v>
      </x:c>
      <x:c r="G93" s="27" t="str">
        <x:v>P0</x:v>
      </x:c>
      <x:c r="H93" s="27" t="str">
        <x:v>Not Started</x:v>
      </x:c>
      <x:c r="I93" s="27" t="str">
        <x:v>Janfon</x:v>
      </x:c>
      <x:c r="J93" s="21" t="str">
        <x:v>One-shot FBX clip</x:v>
      </x:c>
      <x:c r="K93" s="21" t="str">
        <x:v>Silhouette communicates dodge direction; blends back to idle/run without arm snapping.</x:v>
      </x:c>
      <x:c r="L93" s="21" t="str">
        <x:v>SRC-001: scripts/unit_extensions/default_player_unit/states/player_character_state_dodging.lua</x:v>
      </x:c>
      <x:c r="M93" s="21" t="str"/>
    </x:row>
    <x:row r="94" ht="46" customHeight="1">
      <x:c r="A94" s="24" t="str">
        <x:v>ANIM-090</x:v>
      </x:c>
      <x:c r="B94" s="21" t="str">
        <x:v>Evasion</x:v>
      </x:c>
      <x:c r="C94" s="21" t="str">
        <x:v>Dodge</x:v>
      </x:c>
      <x:c r="D94" s="21" t="str">
        <x:v>First person</x:v>
      </x:c>
      <x:c r="E94" s="21" t="str">
        <x:v>Back-right</x:v>
      </x:c>
      <x:c r="F94" s="27" t="str">
        <x:v>Required</x:v>
      </x:c>
      <x:c r="G94" s="27" t="str">
        <x:v>P0</x:v>
      </x:c>
      <x:c r="H94" s="27" t="str">
        <x:v>Not Started</x:v>
      </x:c>
      <x:c r="I94" s="27" t="str">
        <x:v>Janfon</x:v>
      </x:c>
      <x:c r="J94" s="21" t="str">
        <x:v>One-shot FBX clip</x:v>
      </x:c>
      <x:c r="K94" s="21" t="str">
        <x:v>Silhouette communicates dodge direction; blends back to idle/run without arm snapping.</x:v>
      </x:c>
      <x:c r="L94" s="21" t="str">
        <x:v>SRC-001: scripts/unit_extensions/default_player_unit/states/player_character_state_dodging.lua</x:v>
      </x:c>
      <x:c r="M94" s="21" t="str"/>
    </x:row>
    <x:row r="95" ht="46" customHeight="1">
      <x:c r="A95" s="24" t="str">
        <x:v>ANIM-091</x:v>
      </x:c>
      <x:c r="B95" s="21" t="str">
        <x:v>Evasion</x:v>
      </x:c>
      <x:c r="C95" s="21" t="str">
        <x:v>Dodge</x:v>
      </x:c>
      <x:c r="D95" s="21" t="str">
        <x:v>First person</x:v>
      </x:c>
      <x:c r="E95" s="21" t="str">
        <x:v>Right</x:v>
      </x:c>
      <x:c r="F95" s="27" t="str">
        <x:v>Required</x:v>
      </x:c>
      <x:c r="G95" s="27" t="str">
        <x:v>P0</x:v>
      </x:c>
      <x:c r="H95" s="27" t="str">
        <x:v>Not Started</x:v>
      </x:c>
      <x:c r="I95" s="27" t="str">
        <x:v>Janfon</x:v>
      </x:c>
      <x:c r="J95" s="21" t="str">
        <x:v>One-shot FBX clip</x:v>
      </x:c>
      <x:c r="K95" s="21" t="str">
        <x:v>Silhouette communicates dodge direction; blends back to idle/run without arm snapping.</x:v>
      </x:c>
      <x:c r="L95" s="21" t="str">
        <x:v>SRC-001: scripts/unit_extensions/default_player_unit/states/player_character_state_dodging.lua</x:v>
      </x:c>
      <x:c r="M95" s="21" t="str"/>
    </x:row>
    <x:row r="96" ht="46" customHeight="1">
      <x:c r="A96" s="24" t="str">
        <x:v>ANIM-092</x:v>
      </x:c>
      <x:c r="B96" s="21" t="str">
        <x:v>Evasion</x:v>
      </x:c>
      <x:c r="C96" s="21" t="str">
        <x:v>Dodge</x:v>
      </x:c>
      <x:c r="D96" s="21" t="str">
        <x:v>First person</x:v>
      </x:c>
      <x:c r="E96" s="21" t="str">
        <x:v>Forward-right</x:v>
      </x:c>
      <x:c r="F96" s="27" t="str">
        <x:v>Required</x:v>
      </x:c>
      <x:c r="G96" s="27" t="str">
        <x:v>P0</x:v>
      </x:c>
      <x:c r="H96" s="27" t="str">
        <x:v>Not Started</x:v>
      </x:c>
      <x:c r="I96" s="27" t="str">
        <x:v>Janfon</x:v>
      </x:c>
      <x:c r="J96" s="21" t="str">
        <x:v>One-shot FBX clip</x:v>
      </x:c>
      <x:c r="K96" s="21" t="str">
        <x:v>Silhouette communicates dodge direction; blends back to idle/run without arm snapping.</x:v>
      </x:c>
      <x:c r="L96" s="21" t="str">
        <x:v>SRC-001: scripts/unit_extensions/default_player_unit/states/player_character_state_dodging.lua</x:v>
      </x:c>
      <x:c r="M96" s="21" t="str"/>
    </x:row>
    <x:row r="97" ht="46" customHeight="1">
      <x:c r="A97" s="24" t="str">
        <x:v>ANIM-093</x:v>
      </x:c>
      <x:c r="B97" s="21" t="str">
        <x:v>Air movement</x:v>
      </x:c>
      <x:c r="C97" s="21" t="str">
        <x:v>Jump anticipation</x:v>
      </x:c>
      <x:c r="D97" s="21" t="str">
        <x:v>First person</x:v>
      </x:c>
      <x:c r="E97" s="21" t="str">
        <x:v>Forward/default</x:v>
      </x:c>
      <x:c r="F97" s="27" t="str">
        <x:v>Required</x:v>
      </x:c>
      <x:c r="G97" s="27" t="str">
        <x:v>P0</x:v>
      </x:c>
      <x:c r="H97" s="27" t="str">
        <x:v>Not Started</x:v>
      </x:c>
      <x:c r="I97" s="27" t="str">
        <x:v>Janfon</x:v>
      </x:c>
      <x:c r="J97" s="21" t="str">
        <x:v>One-shot or loop FBX clip</x:v>
      </x:c>
      <x:c r="K97" s="21" t="str">
        <x:v>Matches vertical state transition; root motion is engine-driven; no pose pop at takeoff/apex/landing.</x:v>
      </x:c>
      <x:c r="L97" s="21" t="str">
        <x:v>SRC-001: scripts/unit_extensions/default_player_unit/states/player_character_state_jumping.lua; SRC-001: scripts/unit_extensions/default_player_unit/states/player_character_state_falling.lua</x:v>
      </x:c>
      <x:c r="M97" s="21" t="str"/>
    </x:row>
    <x:row r="98" ht="46" customHeight="1">
      <x:c r="A98" s="24" t="str">
        <x:v>ANIM-094</x:v>
      </x:c>
      <x:c r="B98" s="21" t="str">
        <x:v>Air movement</x:v>
      </x:c>
      <x:c r="C98" s="21" t="str">
        <x:v>Jump takeoff</x:v>
      </x:c>
      <x:c r="D98" s="21" t="str">
        <x:v>First person</x:v>
      </x:c>
      <x:c r="E98" s="21" t="str">
        <x:v>Forward/default</x:v>
      </x:c>
      <x:c r="F98" s="27" t="str">
        <x:v>Required</x:v>
      </x:c>
      <x:c r="G98" s="27" t="str">
        <x:v>P0</x:v>
      </x:c>
      <x:c r="H98" s="27" t="str">
        <x:v>Not Started</x:v>
      </x:c>
      <x:c r="I98" s="27" t="str">
        <x:v>Janfon</x:v>
      </x:c>
      <x:c r="J98" s="21" t="str">
        <x:v>One-shot or loop FBX clip</x:v>
      </x:c>
      <x:c r="K98" s="21" t="str">
        <x:v>Matches vertical state transition; root motion is engine-driven; no pose pop at takeoff/apex/landing.</x:v>
      </x:c>
      <x:c r="L98" s="21" t="str">
        <x:v>SRC-001: scripts/unit_extensions/default_player_unit/states/player_character_state_jumping.lua; SRC-001: scripts/unit_extensions/default_player_unit/states/player_character_state_falling.lua</x:v>
      </x:c>
      <x:c r="M98" s="21" t="str"/>
    </x:row>
    <x:row r="99" ht="46" customHeight="1">
      <x:c r="A99" s="24" t="str">
        <x:v>ANIM-095</x:v>
      </x:c>
      <x:c r="B99" s="21" t="str">
        <x:v>Air movement</x:v>
      </x:c>
      <x:c r="C99" s="21" t="str">
        <x:v>Airborne rise</x:v>
      </x:c>
      <x:c r="D99" s="21" t="str">
        <x:v>First person</x:v>
      </x:c>
      <x:c r="E99" s="21" t="str">
        <x:v>Forward/default</x:v>
      </x:c>
      <x:c r="F99" s="27" t="str">
        <x:v>Required</x:v>
      </x:c>
      <x:c r="G99" s="27" t="str">
        <x:v>P0</x:v>
      </x:c>
      <x:c r="H99" s="27" t="str">
        <x:v>Not Started</x:v>
      </x:c>
      <x:c r="I99" s="27" t="str">
        <x:v>Janfon</x:v>
      </x:c>
      <x:c r="J99" s="21" t="str">
        <x:v>One-shot or loop FBX clip</x:v>
      </x:c>
      <x:c r="K99" s="21" t="str">
        <x:v>Matches vertical state transition; root motion is engine-driven; no pose pop at takeoff/apex/landing.</x:v>
      </x:c>
      <x:c r="L99" s="21" t="str">
        <x:v>SRC-001: scripts/unit_extensions/default_player_unit/states/player_character_state_jumping.lua; SRC-001: scripts/unit_extensions/default_player_unit/states/player_character_state_falling.lua</x:v>
      </x:c>
      <x:c r="M99" s="21" t="str"/>
    </x:row>
    <x:row r="100" ht="46" customHeight="1">
      <x:c r="A100" s="24" t="str">
        <x:v>ANIM-096</x:v>
      </x:c>
      <x:c r="B100" s="21" t="str">
        <x:v>Air movement</x:v>
      </x:c>
      <x:c r="C100" s="21" t="str">
        <x:v>Airborne apex</x:v>
      </x:c>
      <x:c r="D100" s="21" t="str">
        <x:v>First person</x:v>
      </x:c>
      <x:c r="E100" s="21" t="str">
        <x:v>Forward/default</x:v>
      </x:c>
      <x:c r="F100" s="27" t="str">
        <x:v>Required</x:v>
      </x:c>
      <x:c r="G100" s="27" t="str">
        <x:v>P0</x:v>
      </x:c>
      <x:c r="H100" s="27" t="str">
        <x:v>Not Started</x:v>
      </x:c>
      <x:c r="I100" s="27" t="str">
        <x:v>Janfon</x:v>
      </x:c>
      <x:c r="J100" s="21" t="str">
        <x:v>One-shot or loop FBX clip</x:v>
      </x:c>
      <x:c r="K100" s="21" t="str">
        <x:v>Matches vertical state transition; root motion is engine-driven; no pose pop at takeoff/apex/landing.</x:v>
      </x:c>
      <x:c r="L100" s="21" t="str">
        <x:v>SRC-001: scripts/unit_extensions/default_player_unit/states/player_character_state_jumping.lua; SRC-001: scripts/unit_extensions/default_player_unit/states/player_character_state_falling.lua</x:v>
      </x:c>
      <x:c r="M100" s="21" t="str"/>
    </x:row>
    <x:row r="101" ht="46" customHeight="1">
      <x:c r="A101" s="24" t="str">
        <x:v>ANIM-097</x:v>
      </x:c>
      <x:c r="B101" s="21" t="str">
        <x:v>Air movement</x:v>
      </x:c>
      <x:c r="C101" s="21" t="str">
        <x:v>Falling loop</x:v>
      </x:c>
      <x:c r="D101" s="21" t="str">
        <x:v>First person</x:v>
      </x:c>
      <x:c r="E101" s="21" t="str">
        <x:v>Forward/default</x:v>
      </x:c>
      <x:c r="F101" s="27" t="str">
        <x:v>Required</x:v>
      </x:c>
      <x:c r="G101" s="27" t="str">
        <x:v>P0</x:v>
      </x:c>
      <x:c r="H101" s="27" t="str">
        <x:v>Not Started</x:v>
      </x:c>
      <x:c r="I101" s="27" t="str">
        <x:v>Janfon</x:v>
      </x:c>
      <x:c r="J101" s="21" t="str">
        <x:v>One-shot or loop FBX clip</x:v>
      </x:c>
      <x:c r="K101" s="21" t="str">
        <x:v>Matches vertical state transition; root motion is engine-driven; no pose pop at takeoff/apex/landing.</x:v>
      </x:c>
      <x:c r="L101" s="21" t="str">
        <x:v>SRC-001: scripts/unit_extensions/default_player_unit/states/player_character_state_jumping.lua; SRC-001: scripts/unit_extensions/default_player_unit/states/player_character_state_falling.lua</x:v>
      </x:c>
      <x:c r="M101" s="21" t="str"/>
    </x:row>
    <x:row r="102" ht="46" customHeight="1">
      <x:c r="A102" s="24" t="str">
        <x:v>ANIM-098</x:v>
      </x:c>
      <x:c r="B102" s="21" t="str">
        <x:v>Air movement</x:v>
      </x:c>
      <x:c r="C102" s="21" t="str">
        <x:v>Short landing</x:v>
      </x:c>
      <x:c r="D102" s="21" t="str">
        <x:v>First person</x:v>
      </x:c>
      <x:c r="E102" s="21" t="str">
        <x:v>Forward/default</x:v>
      </x:c>
      <x:c r="F102" s="27" t="str">
        <x:v>Required</x:v>
      </x:c>
      <x:c r="G102" s="27" t="str">
        <x:v>P0</x:v>
      </x:c>
      <x:c r="H102" s="27" t="str">
        <x:v>Not Started</x:v>
      </x:c>
      <x:c r="I102" s="27" t="str">
        <x:v>Janfon</x:v>
      </x:c>
      <x:c r="J102" s="21" t="str">
        <x:v>One-shot or loop FBX clip</x:v>
      </x:c>
      <x:c r="K102" s="21" t="str">
        <x:v>Matches vertical state transition; root motion is engine-driven; no pose pop at takeoff/apex/landing.</x:v>
      </x:c>
      <x:c r="L102" s="21" t="str">
        <x:v>SRC-001: scripts/unit_extensions/default_player_unit/states/player_character_state_jumping.lua; SRC-001: scripts/unit_extensions/default_player_unit/states/player_character_state_falling.lua</x:v>
      </x:c>
      <x:c r="M102" s="21" t="str"/>
    </x:row>
    <x:row r="103" ht="46" customHeight="1">
      <x:c r="A103" s="24" t="str">
        <x:v>ANIM-099</x:v>
      </x:c>
      <x:c r="B103" s="21" t="str">
        <x:v>Air movement</x:v>
      </x:c>
      <x:c r="C103" s="21" t="str">
        <x:v>Long landing</x:v>
      </x:c>
      <x:c r="D103" s="21" t="str">
        <x:v>First person</x:v>
      </x:c>
      <x:c r="E103" s="21" t="str">
        <x:v>Forward/default</x:v>
      </x:c>
      <x:c r="F103" s="27" t="str">
        <x:v>Required</x:v>
      </x:c>
      <x:c r="G103" s="27" t="str">
        <x:v>P0</x:v>
      </x:c>
      <x:c r="H103" s="27" t="str">
        <x:v>Not Started</x:v>
      </x:c>
      <x:c r="I103" s="27" t="str">
        <x:v>Janfon</x:v>
      </x:c>
      <x:c r="J103" s="21" t="str">
        <x:v>One-shot or loop FBX clip</x:v>
      </x:c>
      <x:c r="K103" s="21" t="str">
        <x:v>Matches vertical state transition; root motion is engine-driven; no pose pop at takeoff/apex/landing.</x:v>
      </x:c>
      <x:c r="L103" s="21" t="str">
        <x:v>SRC-001: scripts/unit_extensions/default_player_unit/states/player_character_state_jumping.lua; SRC-001: scripts/unit_extensions/default_player_unit/states/player_character_state_falling.lua</x:v>
      </x:c>
      <x:c r="M103" s="21" t="str"/>
    </x:row>
    <x:row r="104" ht="46" customHeight="1">
      <x:c r="A104" s="24" t="str">
        <x:v>ANIM-100</x:v>
      </x:c>
      <x:c r="B104" s="21" t="str">
        <x:v>Air movement</x:v>
      </x:c>
      <x:c r="C104" s="21" t="str">
        <x:v>Hard landing / stagger</x:v>
      </x:c>
      <x:c r="D104" s="21" t="str">
        <x:v>First person</x:v>
      </x:c>
      <x:c r="E104" s="21" t="str">
        <x:v>Forward/default</x:v>
      </x:c>
      <x:c r="F104" s="27" t="str">
        <x:v>Required</x:v>
      </x:c>
      <x:c r="G104" s="27" t="str">
        <x:v>P1</x:v>
      </x:c>
      <x:c r="H104" s="27" t="str">
        <x:v>Not Started</x:v>
      </x:c>
      <x:c r="I104" s="27" t="str">
        <x:v>Janfon</x:v>
      </x:c>
      <x:c r="J104" s="21" t="str">
        <x:v>One-shot or loop FBX clip</x:v>
      </x:c>
      <x:c r="K104" s="21" t="str">
        <x:v>Matches vertical state transition; root motion is engine-driven; no pose pop at takeoff/apex/landing.</x:v>
      </x:c>
      <x:c r="L104" s="21" t="str">
        <x:v>SRC-001: scripts/unit_extensions/default_player_unit/states/player_character_state_jumping.lua; SRC-001: scripts/unit_extensions/default_player_unit/states/player_character_state_falling.lua</x:v>
      </x:c>
      <x:c r="M104" s="21" t="str"/>
    </x:row>
    <x:row r="105" ht="46" customHeight="1">
      <x:c r="A105" s="24" t="str">
        <x:v>ANIM-101</x:v>
      </x:c>
      <x:c r="B105" s="21" t="str">
        <x:v>Traversal</x:v>
      </x:c>
      <x:c r="C105" s="21" t="str">
        <x:v>Ladder movement</x:v>
      </x:c>
      <x:c r="D105" s="21" t="str">
        <x:v>Third person</x:v>
      </x:c>
      <x:c r="E105" s="21" t="str">
        <x:v>Enter bottom</x:v>
      </x:c>
      <x:c r="F105" s="27" t="str">
        <x:v>Required</x:v>
      </x:c>
      <x:c r="G105" s="27" t="str">
        <x:v>P1</x:v>
      </x:c>
      <x:c r="H105" s="27" t="str">
        <x:v>Not Started</x:v>
      </x:c>
      <x:c r="I105" s="27" t="str">
        <x:v>Janfon</x:v>
      </x:c>
      <x:c r="J105" s="21" t="str">
        <x:v>FBX clip</x:v>
      </x:c>
      <x:c r="K105" s="21" t="str">
        <x:v>Hands and feet meet ladder spacing; root alignment matches engine-controlled ladder state.</x:v>
      </x:c>
      <x:c r="L105" s="21" t="str">
        <x:v>SRC-001: scripts/unit_extensions/default_player_unit/states/player_character_state_climbing_ladder.lua; SRC-001: scripts/unit_extensions/default_player_unit/states/player_character_state_enter_ladder_top.lua; SRC-001: scripts/unit_extensions/default_player_unit/states/player_character_state_leaving_ladder_top.lua</x:v>
      </x:c>
      <x:c r="M105" s="21" t="str"/>
    </x:row>
    <x:row r="106" ht="46" customHeight="1">
      <x:c r="A106" s="24" t="str">
        <x:v>ANIM-102</x:v>
      </x:c>
      <x:c r="B106" s="21" t="str">
        <x:v>Traversal</x:v>
      </x:c>
      <x:c r="C106" s="21" t="str">
        <x:v>Ladder movement</x:v>
      </x:c>
      <x:c r="D106" s="21" t="str">
        <x:v>Third person</x:v>
      </x:c>
      <x:c r="E106" s="21" t="str">
        <x:v>Enter top</x:v>
      </x:c>
      <x:c r="F106" s="27" t="str">
        <x:v>Required</x:v>
      </x:c>
      <x:c r="G106" s="27" t="str">
        <x:v>P1</x:v>
      </x:c>
      <x:c r="H106" s="27" t="str">
        <x:v>Not Started</x:v>
      </x:c>
      <x:c r="I106" s="27" t="str">
        <x:v>Janfon</x:v>
      </x:c>
      <x:c r="J106" s="21" t="str">
        <x:v>FBX clip</x:v>
      </x:c>
      <x:c r="K106" s="21" t="str">
        <x:v>Hands and feet meet ladder spacing; root alignment matches engine-controlled ladder state.</x:v>
      </x:c>
      <x:c r="L106" s="21" t="str">
        <x:v>SRC-001: scripts/unit_extensions/default_player_unit/states/player_character_state_climbing_ladder.lua; SRC-001: scripts/unit_extensions/default_player_unit/states/player_character_state_enter_ladder_top.lua; SRC-001: scripts/unit_extensions/default_player_unit/states/player_character_state_leaving_ladder_top.lua</x:v>
      </x:c>
      <x:c r="M106" s="21" t="str"/>
    </x:row>
    <x:row r="107" ht="46" customHeight="1">
      <x:c r="A107" s="24" t="str">
        <x:v>ANIM-103</x:v>
      </x:c>
      <x:c r="B107" s="21" t="str">
        <x:v>Traversal</x:v>
      </x:c>
      <x:c r="C107" s="21" t="str">
        <x:v>Ladder movement</x:v>
      </x:c>
      <x:c r="D107" s="21" t="str">
        <x:v>Third person</x:v>
      </x:c>
      <x:c r="E107" s="21" t="str">
        <x:v>Climb up loop</x:v>
      </x:c>
      <x:c r="F107" s="27" t="str">
        <x:v>Required</x:v>
      </x:c>
      <x:c r="G107" s="27" t="str">
        <x:v>P1</x:v>
      </x:c>
      <x:c r="H107" s="27" t="str">
        <x:v>Not Started</x:v>
      </x:c>
      <x:c r="I107" s="27" t="str">
        <x:v>Janfon</x:v>
      </x:c>
      <x:c r="J107" s="21" t="str">
        <x:v>FBX clip</x:v>
      </x:c>
      <x:c r="K107" s="21" t="str">
        <x:v>Hands and feet meet ladder spacing; root alignment matches engine-controlled ladder state.</x:v>
      </x:c>
      <x:c r="L107" s="21" t="str">
        <x:v>SRC-001: scripts/unit_extensions/default_player_unit/states/player_character_state_climbing_ladder.lua; SRC-001: scripts/unit_extensions/default_player_unit/states/player_character_state_enter_ladder_top.lua; SRC-001: scripts/unit_extensions/default_player_unit/states/player_character_state_leaving_ladder_top.lua</x:v>
      </x:c>
      <x:c r="M107" s="21" t="str"/>
    </x:row>
    <x:row r="108" ht="46" customHeight="1">
      <x:c r="A108" s="24" t="str">
        <x:v>ANIM-104</x:v>
      </x:c>
      <x:c r="B108" s="21" t="str">
        <x:v>Traversal</x:v>
      </x:c>
      <x:c r="C108" s="21" t="str">
        <x:v>Ladder movement</x:v>
      </x:c>
      <x:c r="D108" s="21" t="str">
        <x:v>Third person</x:v>
      </x:c>
      <x:c r="E108" s="21" t="str">
        <x:v>Climb down loop</x:v>
      </x:c>
      <x:c r="F108" s="27" t="str">
        <x:v>Required</x:v>
      </x:c>
      <x:c r="G108" s="27" t="str">
        <x:v>P1</x:v>
      </x:c>
      <x:c r="H108" s="27" t="str">
        <x:v>Not Started</x:v>
      </x:c>
      <x:c r="I108" s="27" t="str">
        <x:v>Janfon</x:v>
      </x:c>
      <x:c r="J108" s="21" t="str">
        <x:v>FBX clip</x:v>
      </x:c>
      <x:c r="K108" s="21" t="str">
        <x:v>Hands and feet meet ladder spacing; root alignment matches engine-controlled ladder state.</x:v>
      </x:c>
      <x:c r="L108" s="21" t="str">
        <x:v>SRC-001: scripts/unit_extensions/default_player_unit/states/player_character_state_climbing_ladder.lua; SRC-001: scripts/unit_extensions/default_player_unit/states/player_character_state_enter_ladder_top.lua; SRC-001: scripts/unit_extensions/default_player_unit/states/player_character_state_leaving_ladder_top.lua</x:v>
      </x:c>
      <x:c r="M108" s="21" t="str"/>
    </x:row>
    <x:row r="109" ht="46" customHeight="1">
      <x:c r="A109" s="24" t="str">
        <x:v>ANIM-105</x:v>
      </x:c>
      <x:c r="B109" s="21" t="str">
        <x:v>Traversal</x:v>
      </x:c>
      <x:c r="C109" s="21" t="str">
        <x:v>Ladder movement</x:v>
      </x:c>
      <x:c r="D109" s="21" t="str">
        <x:v>Third person</x:v>
      </x:c>
      <x:c r="E109" s="21" t="str">
        <x:v>Ladder idle</x:v>
      </x:c>
      <x:c r="F109" s="27" t="str">
        <x:v>Required</x:v>
      </x:c>
      <x:c r="G109" s="27" t="str">
        <x:v>P1</x:v>
      </x:c>
      <x:c r="H109" s="27" t="str">
        <x:v>Not Started</x:v>
      </x:c>
      <x:c r="I109" s="27" t="str">
        <x:v>Janfon</x:v>
      </x:c>
      <x:c r="J109" s="21" t="str">
        <x:v>FBX clip</x:v>
      </x:c>
      <x:c r="K109" s="21" t="str">
        <x:v>Hands and feet meet ladder spacing; root alignment matches engine-controlled ladder state.</x:v>
      </x:c>
      <x:c r="L109" s="21" t="str">
        <x:v>SRC-001: scripts/unit_extensions/default_player_unit/states/player_character_state_climbing_ladder.lua; SRC-001: scripts/unit_extensions/default_player_unit/states/player_character_state_enter_ladder_top.lua; SRC-001: scripts/unit_extensions/default_player_unit/states/player_character_state_leaving_ladder_top.lua</x:v>
      </x:c>
      <x:c r="M109" s="21" t="str"/>
    </x:row>
    <x:row r="110" ht="46" customHeight="1">
      <x:c r="A110" s="24" t="str">
        <x:v>ANIM-106</x:v>
      </x:c>
      <x:c r="B110" s="21" t="str">
        <x:v>Traversal</x:v>
      </x:c>
      <x:c r="C110" s="21" t="str">
        <x:v>Ladder movement</x:v>
      </x:c>
      <x:c r="D110" s="21" t="str">
        <x:v>Third person</x:v>
      </x:c>
      <x:c r="E110" s="21" t="str">
        <x:v>Exit bottom</x:v>
      </x:c>
      <x:c r="F110" s="27" t="str">
        <x:v>Required</x:v>
      </x:c>
      <x:c r="G110" s="27" t="str">
        <x:v>P1</x:v>
      </x:c>
      <x:c r="H110" s="27" t="str">
        <x:v>Not Started</x:v>
      </x:c>
      <x:c r="I110" s="27" t="str">
        <x:v>Janfon</x:v>
      </x:c>
      <x:c r="J110" s="21" t="str">
        <x:v>FBX clip</x:v>
      </x:c>
      <x:c r="K110" s="21" t="str">
        <x:v>Hands and feet meet ladder spacing; root alignment matches engine-controlled ladder state.</x:v>
      </x:c>
      <x:c r="L110" s="21" t="str">
        <x:v>SRC-001: scripts/unit_extensions/default_player_unit/states/player_character_state_climbing_ladder.lua; SRC-001: scripts/unit_extensions/default_player_unit/states/player_character_state_enter_ladder_top.lua; SRC-001: scripts/unit_extensions/default_player_unit/states/player_character_state_leaving_ladder_top.lua</x:v>
      </x:c>
      <x:c r="M110" s="21" t="str"/>
    </x:row>
    <x:row r="111" ht="46" customHeight="1">
      <x:c r="A111" s="24" t="str">
        <x:v>ANIM-107</x:v>
      </x:c>
      <x:c r="B111" s="21" t="str">
        <x:v>Traversal</x:v>
      </x:c>
      <x:c r="C111" s="21" t="str">
        <x:v>Ladder movement</x:v>
      </x:c>
      <x:c r="D111" s="21" t="str">
        <x:v>Third person</x:v>
      </x:c>
      <x:c r="E111" s="21" t="str">
        <x:v>Exit top left</x:v>
      </x:c>
      <x:c r="F111" s="27" t="str">
        <x:v>Required</x:v>
      </x:c>
      <x:c r="G111" s="27" t="str">
        <x:v>P1</x:v>
      </x:c>
      <x:c r="H111" s="27" t="str">
        <x:v>Not Started</x:v>
      </x:c>
      <x:c r="I111" s="27" t="str">
        <x:v>Janfon</x:v>
      </x:c>
      <x:c r="J111" s="21" t="str">
        <x:v>FBX clip</x:v>
      </x:c>
      <x:c r="K111" s="21" t="str">
        <x:v>Hands and feet meet ladder spacing; root alignment matches engine-controlled ladder state.</x:v>
      </x:c>
      <x:c r="L111" s="21" t="str">
        <x:v>SRC-001: scripts/unit_extensions/default_player_unit/states/player_character_state_climbing_ladder.lua; SRC-001: scripts/unit_extensions/default_player_unit/states/player_character_state_enter_ladder_top.lua; SRC-001: scripts/unit_extensions/default_player_unit/states/player_character_state_leaving_ladder_top.lua</x:v>
      </x:c>
      <x:c r="M111" s="21" t="str"/>
    </x:row>
    <x:row r="112" ht="46" customHeight="1">
      <x:c r="A112" s="24" t="str">
        <x:v>ANIM-108</x:v>
      </x:c>
      <x:c r="B112" s="21" t="str">
        <x:v>Traversal</x:v>
      </x:c>
      <x:c r="C112" s="21" t="str">
        <x:v>Ladder movement</x:v>
      </x:c>
      <x:c r="D112" s="21" t="str">
        <x:v>Third person</x:v>
      </x:c>
      <x:c r="E112" s="21" t="str">
        <x:v>Exit top right</x:v>
      </x:c>
      <x:c r="F112" s="27" t="str">
        <x:v>Required</x:v>
      </x:c>
      <x:c r="G112" s="27" t="str">
        <x:v>P1</x:v>
      </x:c>
      <x:c r="H112" s="27" t="str">
        <x:v>Not Started</x:v>
      </x:c>
      <x:c r="I112" s="27" t="str">
        <x:v>Janfon</x:v>
      </x:c>
      <x:c r="J112" s="21" t="str">
        <x:v>FBX clip</x:v>
      </x:c>
      <x:c r="K112" s="21" t="str">
        <x:v>Hands and feet meet ladder spacing; root alignment matches engine-controlled ladder state.</x:v>
      </x:c>
      <x:c r="L112" s="21" t="str">
        <x:v>SRC-001: scripts/unit_extensions/default_player_unit/states/player_character_state_climbing_ladder.lua; SRC-001: scripts/unit_extensions/default_player_unit/states/player_character_state_enter_ladder_top.lua; SRC-001: scripts/unit_extensions/default_player_unit/states/player_character_state_leaving_ladder_top.lua</x:v>
      </x:c>
      <x:c r="M112" s="21" t="str"/>
    </x:row>
    <x:row r="113" ht="46" customHeight="1">
      <x:c r="A113" s="24" t="str">
        <x:v>ANIM-109</x:v>
      </x:c>
      <x:c r="B113" s="21" t="str">
        <x:v>Traversal</x:v>
      </x:c>
      <x:c r="C113" s="21" t="str">
        <x:v>Ledge movement</x:v>
      </x:c>
      <x:c r="D113" s="21" t="str">
        <x:v>Third person</x:v>
      </x:c>
      <x:c r="E113" s="21" t="str">
        <x:v>Grab</x:v>
      </x:c>
      <x:c r="F113" s="27" t="str">
        <x:v>Required</x:v>
      </x:c>
      <x:c r="G113" s="27" t="str">
        <x:v>P1</x:v>
      </x:c>
      <x:c r="H113" s="27" t="str">
        <x:v>Not Started</x:v>
      </x:c>
      <x:c r="I113" s="27" t="str">
        <x:v>Janfon</x:v>
      </x:c>
      <x:c r="J113" s="21" t="str">
        <x:v>FBX clip</x:v>
      </x:c>
      <x:c r="K113" s="21" t="str">
        <x:v>Hands align to ledge plane and transition without shoulder inversion.</x:v>
      </x:c>
      <x:c r="L113" s="21" t="str">
        <x:v>SRC-001: scripts/unit_extensions/default_player_unit/states/player_character_state_ledge_hanging.lua; SRC-001: scripts/unit_extensions/default_player_unit/states/player_character_state_leave_ledge_hanging_pull_up.lua</x:v>
      </x:c>
      <x:c r="M113" s="21" t="str"/>
    </x:row>
    <x:row r="114" ht="46" customHeight="1">
      <x:c r="A114" s="24" t="str">
        <x:v>ANIM-110</x:v>
      </x:c>
      <x:c r="B114" s="21" t="str">
        <x:v>Traversal</x:v>
      </x:c>
      <x:c r="C114" s="21" t="str">
        <x:v>Ledge movement</x:v>
      </x:c>
      <x:c r="D114" s="21" t="str">
        <x:v>Third person</x:v>
      </x:c>
      <x:c r="E114" s="21" t="str">
        <x:v>Hang idle</x:v>
      </x:c>
      <x:c r="F114" s="27" t="str">
        <x:v>Required</x:v>
      </x:c>
      <x:c r="G114" s="27" t="str">
        <x:v>P1</x:v>
      </x:c>
      <x:c r="H114" s="27" t="str">
        <x:v>Not Started</x:v>
      </x:c>
      <x:c r="I114" s="27" t="str">
        <x:v>Janfon</x:v>
      </x:c>
      <x:c r="J114" s="21" t="str">
        <x:v>FBX clip</x:v>
      </x:c>
      <x:c r="K114" s="21" t="str">
        <x:v>Hands align to ledge plane and transition without shoulder inversion.</x:v>
      </x:c>
      <x:c r="L114" s="21" t="str">
        <x:v>SRC-001: scripts/unit_extensions/default_player_unit/states/player_character_state_ledge_hanging.lua; SRC-001: scripts/unit_extensions/default_player_unit/states/player_character_state_leave_ledge_hanging_pull_up.lua</x:v>
      </x:c>
      <x:c r="M114" s="21" t="str"/>
    </x:row>
    <x:row r="115" ht="46" customHeight="1">
      <x:c r="A115" s="24" t="str">
        <x:v>ANIM-111</x:v>
      </x:c>
      <x:c r="B115" s="21" t="str">
        <x:v>Traversal</x:v>
      </x:c>
      <x:c r="C115" s="21" t="str">
        <x:v>Ledge movement</x:v>
      </x:c>
      <x:c r="D115" s="21" t="str">
        <x:v>Third person</x:v>
      </x:c>
      <x:c r="E115" s="21" t="str">
        <x:v>Shimmy left</x:v>
      </x:c>
      <x:c r="F115" s="27" t="str">
        <x:v>Required</x:v>
      </x:c>
      <x:c r="G115" s="27" t="str">
        <x:v>P1</x:v>
      </x:c>
      <x:c r="H115" s="27" t="str">
        <x:v>Not Started</x:v>
      </x:c>
      <x:c r="I115" s="27" t="str">
        <x:v>Janfon</x:v>
      </x:c>
      <x:c r="J115" s="21" t="str">
        <x:v>FBX clip</x:v>
      </x:c>
      <x:c r="K115" s="21" t="str">
        <x:v>Hands align to ledge plane and transition without shoulder inversion.</x:v>
      </x:c>
      <x:c r="L115" s="21" t="str">
        <x:v>SRC-001: scripts/unit_extensions/default_player_unit/states/player_character_state_ledge_hanging.lua; SRC-001: scripts/unit_extensions/default_player_unit/states/player_character_state_leave_ledge_hanging_pull_up.lua</x:v>
      </x:c>
      <x:c r="M115" s="21" t="str"/>
    </x:row>
    <x:row r="116" ht="46" customHeight="1">
      <x:c r="A116" s="24" t="str">
        <x:v>ANIM-112</x:v>
      </x:c>
      <x:c r="B116" s="21" t="str">
        <x:v>Traversal</x:v>
      </x:c>
      <x:c r="C116" s="21" t="str">
        <x:v>Ledge movement</x:v>
      </x:c>
      <x:c r="D116" s="21" t="str">
        <x:v>Third person</x:v>
      </x:c>
      <x:c r="E116" s="21" t="str">
        <x:v>Shimmy right</x:v>
      </x:c>
      <x:c r="F116" s="27" t="str">
        <x:v>Required</x:v>
      </x:c>
      <x:c r="G116" s="27" t="str">
        <x:v>P1</x:v>
      </x:c>
      <x:c r="H116" s="27" t="str">
        <x:v>Not Started</x:v>
      </x:c>
      <x:c r="I116" s="27" t="str">
        <x:v>Janfon</x:v>
      </x:c>
      <x:c r="J116" s="21" t="str">
        <x:v>FBX clip</x:v>
      </x:c>
      <x:c r="K116" s="21" t="str">
        <x:v>Hands align to ledge plane and transition without shoulder inversion.</x:v>
      </x:c>
      <x:c r="L116" s="21" t="str">
        <x:v>SRC-001: scripts/unit_extensions/default_player_unit/states/player_character_state_ledge_hanging.lua; SRC-001: scripts/unit_extensions/default_player_unit/states/player_character_state_leave_ledge_hanging_pull_up.lua</x:v>
      </x:c>
      <x:c r="M116" s="21" t="str"/>
    </x:row>
    <x:row r="117" ht="46" customHeight="1">
      <x:c r="A117" s="24" t="str">
        <x:v>ANIM-113</x:v>
      </x:c>
      <x:c r="B117" s="21" t="str">
        <x:v>Traversal</x:v>
      </x:c>
      <x:c r="C117" s="21" t="str">
        <x:v>Ledge movement</x:v>
      </x:c>
      <x:c r="D117" s="21" t="str">
        <x:v>Third person</x:v>
      </x:c>
      <x:c r="E117" s="21" t="str">
        <x:v>Pull up</x:v>
      </x:c>
      <x:c r="F117" s="27" t="str">
        <x:v>Required</x:v>
      </x:c>
      <x:c r="G117" s="27" t="str">
        <x:v>P1</x:v>
      </x:c>
      <x:c r="H117" s="27" t="str">
        <x:v>Not Started</x:v>
      </x:c>
      <x:c r="I117" s="27" t="str">
        <x:v>Janfon</x:v>
      </x:c>
      <x:c r="J117" s="21" t="str">
        <x:v>FBX clip</x:v>
      </x:c>
      <x:c r="K117" s="21" t="str">
        <x:v>Hands align to ledge plane and transition without shoulder inversion.</x:v>
      </x:c>
      <x:c r="L117" s="21" t="str">
        <x:v>SRC-001: scripts/unit_extensions/default_player_unit/states/player_character_state_ledge_hanging.lua; SRC-001: scripts/unit_extensions/default_player_unit/states/player_character_state_leave_ledge_hanging_pull_up.lua</x:v>
      </x:c>
      <x:c r="M117" s="21" t="str"/>
    </x:row>
    <x:row r="118" ht="46" customHeight="1">
      <x:c r="A118" s="24" t="str">
        <x:v>ANIM-114</x:v>
      </x:c>
      <x:c r="B118" s="21" t="str">
        <x:v>Traversal</x:v>
      </x:c>
      <x:c r="C118" s="21" t="str">
        <x:v>Ledge movement</x:v>
      </x:c>
      <x:c r="D118" s="21" t="str">
        <x:v>Third person</x:v>
      </x:c>
      <x:c r="E118" s="21" t="str">
        <x:v>Drop to fall</x:v>
      </x:c>
      <x:c r="F118" s="27" t="str">
        <x:v>Required</x:v>
      </x:c>
      <x:c r="G118" s="27" t="str">
        <x:v>P1</x:v>
      </x:c>
      <x:c r="H118" s="27" t="str">
        <x:v>Not Started</x:v>
      </x:c>
      <x:c r="I118" s="27" t="str">
        <x:v>Janfon</x:v>
      </x:c>
      <x:c r="J118" s="21" t="str">
        <x:v>FBX clip</x:v>
      </x:c>
      <x:c r="K118" s="21" t="str">
        <x:v>Hands align to ledge plane and transition without shoulder inversion.</x:v>
      </x:c>
      <x:c r="L118" s="21" t="str">
        <x:v>SRC-001: scripts/unit_extensions/default_player_unit/states/player_character_state_ledge_hanging.lua; SRC-001: scripts/unit_extensions/default_player_unit/states/player_character_state_leave_ledge_hanging_pull_up.lua</x:v>
      </x:c>
      <x:c r="M118" s="21" t="str"/>
    </x:row>
    <x:row r="119" ht="46" customHeight="1">
      <x:c r="A119" s="24" t="str">
        <x:v>ANIM-115</x:v>
      </x:c>
      <x:c r="B119" s="21" t="str">
        <x:v>Traversal</x:v>
      </x:c>
      <x:c r="C119" s="21" t="str">
        <x:v>Ledge movement</x:v>
      </x:c>
      <x:c r="D119" s="21" t="str">
        <x:v>Third person</x:v>
      </x:c>
      <x:c r="E119" s="21" t="str">
        <x:v>Forced release</x:v>
      </x:c>
      <x:c r="F119" s="27" t="str">
        <x:v>Required</x:v>
      </x:c>
      <x:c r="G119" s="27" t="str">
        <x:v>P1</x:v>
      </x:c>
      <x:c r="H119" s="27" t="str">
        <x:v>Not Started</x:v>
      </x:c>
      <x:c r="I119" s="27" t="str">
        <x:v>Janfon</x:v>
      </x:c>
      <x:c r="J119" s="21" t="str">
        <x:v>FBX clip</x:v>
      </x:c>
      <x:c r="K119" s="21" t="str">
        <x:v>Hands align to ledge plane and transition without shoulder inversion.</x:v>
      </x:c>
      <x:c r="L119" s="21" t="str">
        <x:v>SRC-001: scripts/unit_extensions/default_player_unit/states/player_character_state_ledge_hanging.lua; SRC-001: scripts/unit_extensions/default_player_unit/states/player_character_state_leave_ledge_hanging_pull_up.lua</x:v>
      </x:c>
      <x:c r="M119" s="21" t="str"/>
    </x:row>
    <x:row r="120" ht="46" customHeight="1">
      <x:c r="A120" s="24" t="str">
        <x:v>ANIM-116</x:v>
      </x:c>
      <x:c r="B120" s="21" t="str">
        <x:v>Traversal</x:v>
      </x:c>
      <x:c r="C120" s="21" t="str">
        <x:v>Special traversal</x:v>
      </x:c>
      <x:c r="D120" s="21" t="str">
        <x:v>Third person</x:v>
      </x:c>
      <x:c r="E120" s="21" t="str">
        <x:v>Catapulted</x:v>
      </x:c>
      <x:c r="F120" s="27" t="str">
        <x:v>Conditional</x:v>
      </x:c>
      <x:c r="G120" s="27" t="str">
        <x:v>P2</x:v>
      </x:c>
      <x:c r="H120" s="27" t="str">
        <x:v>Not Started</x:v>
      </x:c>
      <x:c r="I120" s="27" t="str">
        <x:v>Janfon</x:v>
      </x:c>
      <x:c r="J120" s="21" t="str">
        <x:v>FBX clip</x:v>
      </x:c>
      <x:c r="K120" s="21" t="str">
        <x:v>Preserves attachment alignment and enters/exits falling or standing correctly.</x:v>
      </x:c>
      <x:c r="L120" s="21" t="str">
        <x:v>SRC-001: scripts/unit_extensions/default_player_unit/states/player_character_state_catapulted.lua; SRC-001: scripts/unit_extensions/default_player_unit/states/player_character_state_using_transport.lua; SRC-001: scripts/unit_extensions/default_player_unit/states/player_character_state_in_hanging_cage.lua</x:v>
      </x:c>
      <x:c r="M120" s="21" t="str"/>
    </x:row>
    <x:row r="121" ht="46" customHeight="1">
      <x:c r="A121" s="24" t="str">
        <x:v>ANIM-117</x:v>
      </x:c>
      <x:c r="B121" s="21" t="str">
        <x:v>Traversal</x:v>
      </x:c>
      <x:c r="C121" s="21" t="str">
        <x:v>Special traversal</x:v>
      </x:c>
      <x:c r="D121" s="21" t="str">
        <x:v>Third person</x:v>
      </x:c>
      <x:c r="E121" s="21" t="str">
        <x:v>Using transport</x:v>
      </x:c>
      <x:c r="F121" s="27" t="str">
        <x:v>Conditional</x:v>
      </x:c>
      <x:c r="G121" s="27" t="str">
        <x:v>P2</x:v>
      </x:c>
      <x:c r="H121" s="27" t="str">
        <x:v>Not Started</x:v>
      </x:c>
      <x:c r="I121" s="27" t="str">
        <x:v>Janfon</x:v>
      </x:c>
      <x:c r="J121" s="21" t="str">
        <x:v>FBX clip</x:v>
      </x:c>
      <x:c r="K121" s="21" t="str">
        <x:v>Preserves attachment alignment and enters/exits falling or standing correctly.</x:v>
      </x:c>
      <x:c r="L121" s="21" t="str">
        <x:v>SRC-001: scripts/unit_extensions/default_player_unit/states/player_character_state_catapulted.lua; SRC-001: scripts/unit_extensions/default_player_unit/states/player_character_state_using_transport.lua; SRC-001: scripts/unit_extensions/default_player_unit/states/player_character_state_in_hanging_cage.lua</x:v>
      </x:c>
      <x:c r="M121" s="21" t="str"/>
    </x:row>
    <x:row r="122" ht="46" customHeight="1">
      <x:c r="A122" s="24" t="str">
        <x:v>ANIM-118</x:v>
      </x:c>
      <x:c r="B122" s="21" t="str">
        <x:v>Traversal</x:v>
      </x:c>
      <x:c r="C122" s="21" t="str">
        <x:v>Special traversal</x:v>
      </x:c>
      <x:c r="D122" s="21" t="str">
        <x:v>Third person</x:v>
      </x:c>
      <x:c r="E122" s="21" t="str">
        <x:v>Hanging cage idle</x:v>
      </x:c>
      <x:c r="F122" s="27" t="str">
        <x:v>Conditional</x:v>
      </x:c>
      <x:c r="G122" s="27" t="str">
        <x:v>P2</x:v>
      </x:c>
      <x:c r="H122" s="27" t="str">
        <x:v>Not Started</x:v>
      </x:c>
      <x:c r="I122" s="27" t="str">
        <x:v>Janfon</x:v>
      </x:c>
      <x:c r="J122" s="21" t="str">
        <x:v>FBX clip</x:v>
      </x:c>
      <x:c r="K122" s="21" t="str">
        <x:v>Preserves attachment alignment and enters/exits falling or standing correctly.</x:v>
      </x:c>
      <x:c r="L122" s="21" t="str">
        <x:v>SRC-001: scripts/unit_extensions/default_player_unit/states/player_character_state_catapulted.lua; SRC-001: scripts/unit_extensions/default_player_unit/states/player_character_state_using_transport.lua; SRC-001: scripts/unit_extensions/default_player_unit/states/player_character_state_in_hanging_cage.lua</x:v>
      </x:c>
      <x:c r="M122" s="21" t="str"/>
    </x:row>
    <x:row r="123" ht="46" customHeight="1">
      <x:c r="A123" s="24" t="str">
        <x:v>ANIM-119</x:v>
      </x:c>
      <x:c r="B123" s="21" t="str">
        <x:v>Traversal</x:v>
      </x:c>
      <x:c r="C123" s="21" t="str">
        <x:v>Special traversal</x:v>
      </x:c>
      <x:c r="D123" s="21" t="str">
        <x:v>Third person</x:v>
      </x:c>
      <x:c r="E123" s="21" t="str">
        <x:v>Hanging cage release</x:v>
      </x:c>
      <x:c r="F123" s="27" t="str">
        <x:v>Conditional</x:v>
      </x:c>
      <x:c r="G123" s="27" t="str">
        <x:v>P2</x:v>
      </x:c>
      <x:c r="H123" s="27" t="str">
        <x:v>Not Started</x:v>
      </x:c>
      <x:c r="I123" s="27" t="str">
        <x:v>Janfon</x:v>
      </x:c>
      <x:c r="J123" s="21" t="str">
        <x:v>FBX clip</x:v>
      </x:c>
      <x:c r="K123" s="21" t="str">
        <x:v>Preserves attachment alignment and enters/exits falling or standing correctly.</x:v>
      </x:c>
      <x:c r="L123" s="21" t="str">
        <x:v>SRC-001: scripts/unit_extensions/default_player_unit/states/player_character_state_catapulted.lua; SRC-001: scripts/unit_extensions/default_player_unit/states/player_character_state_using_transport.lua; SRC-001: scripts/unit_extensions/default_player_unit/states/player_character_state_in_hanging_cage.lua</x:v>
      </x:c>
      <x:c r="M123" s="21" t="str"/>
    </x:row>
    <x:row r="124" ht="46" customHeight="1">
      <x:c r="A124" s="24" t="str">
        <x:v>ANIM-120</x:v>
      </x:c>
      <x:c r="B124" s="21" t="str">
        <x:v>Weapon combat</x:v>
      </x:c>
      <x:c r="C124" s="21" t="str">
        <x:v>One-handed melee: Equip / draw</x:v>
      </x:c>
      <x:c r="D124" s="21" t="str">
        <x:v>Third person</x:v>
      </x:c>
      <x:c r="E124" s="21" t="str">
        <x:v>Default</x:v>
      </x:c>
      <x:c r="F124" s="27" t="str">
        <x:v>Required</x:v>
      </x:c>
      <x:c r="G124" s="27" t="str">
        <x:v>P1</x:v>
      </x:c>
      <x:c r="H124" s="27" t="str">
        <x:v>Not Started</x:v>
      </x:c>
      <x:c r="I124" s="27" t="str">
        <x:v>Janfon</x:v>
      </x:c>
      <x:c r="J124" s="21" t="str">
        <x:v>FBX clip on canonical Pusfume rig</x:v>
      </x:c>
      <x:c r="K124" s="21" t="str">
        <x:v>Animation event resolves, weapon grip remains aligned, and blend/recovery timing matches the selected weapon template.</x:v>
      </x:c>
      <x:c r="L124" s="21" t="str">
        <x:v>SRC-009: scripts/settings/equipment/weapon_templates/</x:v>
      </x:c>
      <x:c r="M124" s="21" t="str">
        <x:v>Author against the final supported weapon roster; reuse only after in-game grip and silhouette validation.</x:v>
      </x:c>
    </x:row>
    <x:row r="125" ht="46" customHeight="1">
      <x:c r="A125" s="24" t="str">
        <x:v>ANIM-121</x:v>
      </x:c>
      <x:c r="B125" s="21" t="str">
        <x:v>Weapon combat</x:v>
      </x:c>
      <x:c r="C125" s="21" t="str">
        <x:v>One-handed melee: Equip / draw</x:v>
      </x:c>
      <x:c r="D125" s="21" t="str">
        <x:v>First person</x:v>
      </x:c>
      <x:c r="E125" s="21" t="str">
        <x:v>Default</x:v>
      </x:c>
      <x:c r="F125" s="27" t="str">
        <x:v>Required</x:v>
      </x:c>
      <x:c r="G125" s="27" t="str">
        <x:v>P1</x:v>
      </x:c>
      <x:c r="H125" s="27" t="str">
        <x:v>Not Started</x:v>
      </x:c>
      <x:c r="I125" s="27" t="str">
        <x:v>Janfon</x:v>
      </x:c>
      <x:c r="J125" s="21" t="str">
        <x:v>FBX clip on canonical Pusfume rig</x:v>
      </x:c>
      <x:c r="K125" s="21" t="str">
        <x:v>Animation event resolves, weapon grip remains aligned, and blend/recovery timing matches the selected weapon template.</x:v>
      </x:c>
      <x:c r="L125" s="21" t="str">
        <x:v>SRC-009: scripts/settings/equipment/weapon_templates/</x:v>
      </x:c>
      <x:c r="M125" s="21" t="str">
        <x:v>Author against the final supported weapon roster; reuse only after in-game grip and silhouette validation.</x:v>
      </x:c>
    </x:row>
    <x:row r="126" ht="46" customHeight="1">
      <x:c r="A126" s="24" t="str">
        <x:v>ANIM-122</x:v>
      </x:c>
      <x:c r="B126" s="21" t="str">
        <x:v>Weapon combat</x:v>
      </x:c>
      <x:c r="C126" s="21" t="str">
        <x:v>One-handed melee: Unequip / stow</x:v>
      </x:c>
      <x:c r="D126" s="21" t="str">
        <x:v>Third person</x:v>
      </x:c>
      <x:c r="E126" s="21" t="str">
        <x:v>Default</x:v>
      </x:c>
      <x:c r="F126" s="27" t="str">
        <x:v>Required</x:v>
      </x:c>
      <x:c r="G126" s="27" t="str">
        <x:v>P1</x:v>
      </x:c>
      <x:c r="H126" s="27" t="str">
        <x:v>Not Started</x:v>
      </x:c>
      <x:c r="I126" s="27" t="str">
        <x:v>Janfon</x:v>
      </x:c>
      <x:c r="J126" s="21" t="str">
        <x:v>FBX clip on canonical Pusfume rig</x:v>
      </x:c>
      <x:c r="K126" s="21" t="str">
        <x:v>Animation event resolves, weapon grip remains aligned, and blend/recovery timing matches the selected weapon template.</x:v>
      </x:c>
      <x:c r="L126" s="21" t="str">
        <x:v>SRC-009: scripts/settings/equipment/weapon_templates/</x:v>
      </x:c>
      <x:c r="M126" s="21" t="str">
        <x:v>Author against the final supported weapon roster; reuse only after in-game grip and silhouette validation.</x:v>
      </x:c>
    </x:row>
    <x:row r="127" ht="46" customHeight="1">
      <x:c r="A127" s="24" t="str">
        <x:v>ANIM-123</x:v>
      </x:c>
      <x:c r="B127" s="21" t="str">
        <x:v>Weapon combat</x:v>
      </x:c>
      <x:c r="C127" s="21" t="str">
        <x:v>One-handed melee: Unequip / stow</x:v>
      </x:c>
      <x:c r="D127" s="21" t="str">
        <x:v>First person</x:v>
      </x:c>
      <x:c r="E127" s="21" t="str">
        <x:v>Default</x:v>
      </x:c>
      <x:c r="F127" s="27" t="str">
        <x:v>Required</x:v>
      </x:c>
      <x:c r="G127" s="27" t="str">
        <x:v>P1</x:v>
      </x:c>
      <x:c r="H127" s="27" t="str">
        <x:v>Not Started</x:v>
      </x:c>
      <x:c r="I127" s="27" t="str">
        <x:v>Janfon</x:v>
      </x:c>
      <x:c r="J127" s="21" t="str">
        <x:v>FBX clip on canonical Pusfume rig</x:v>
      </x:c>
      <x:c r="K127" s="21" t="str">
        <x:v>Animation event resolves, weapon grip remains aligned, and blend/recovery timing matches the selected weapon template.</x:v>
      </x:c>
      <x:c r="L127" s="21" t="str">
        <x:v>SRC-009: scripts/settings/equipment/weapon_templates/</x:v>
      </x:c>
      <x:c r="M127" s="21" t="str">
        <x:v>Author against the final supported weapon roster; reuse only after in-game grip and silhouette validation.</x:v>
      </x:c>
    </x:row>
    <x:row r="128" ht="46" customHeight="1">
      <x:c r="A128" s="24" t="str">
        <x:v>ANIM-124</x:v>
      </x:c>
      <x:c r="B128" s="21" t="str">
        <x:v>Weapon combat</x:v>
      </x:c>
      <x:c r="C128" s="21" t="str">
        <x:v>One-handed melee: Weapon idle</x:v>
      </x:c>
      <x:c r="D128" s="21" t="str">
        <x:v>Third person</x:v>
      </x:c>
      <x:c r="E128" s="21" t="str">
        <x:v>Default</x:v>
      </x:c>
      <x:c r="F128" s="27" t="str">
        <x:v>Required</x:v>
      </x:c>
      <x:c r="G128" s="27" t="str">
        <x:v>P0</x:v>
      </x:c>
      <x:c r="H128" s="27" t="str">
        <x:v>Not Started</x:v>
      </x:c>
      <x:c r="I128" s="27" t="str">
        <x:v>Janfon</x:v>
      </x:c>
      <x:c r="J128" s="21" t="str">
        <x:v>FBX clip on canonical Pusfume rig</x:v>
      </x:c>
      <x:c r="K128" s="21" t="str">
        <x:v>Animation event resolves, weapon grip remains aligned, and blend/recovery timing matches the selected weapon template.</x:v>
      </x:c>
      <x:c r="L128" s="21" t="str">
        <x:v>SRC-009: scripts/settings/equipment/weapon_templates/</x:v>
      </x:c>
      <x:c r="M128" s="21" t="str">
        <x:v>Author against the final supported weapon roster; reuse only after in-game grip and silhouette validation.</x:v>
      </x:c>
    </x:row>
    <x:row r="129" ht="46" customHeight="1">
      <x:c r="A129" s="24" t="str">
        <x:v>ANIM-125</x:v>
      </x:c>
      <x:c r="B129" s="21" t="str">
        <x:v>Weapon combat</x:v>
      </x:c>
      <x:c r="C129" s="21" t="str">
        <x:v>One-handed melee: Weapon idle</x:v>
      </x:c>
      <x:c r="D129" s="21" t="str">
        <x:v>First person</x:v>
      </x:c>
      <x:c r="E129" s="21" t="str">
        <x:v>Default</x:v>
      </x:c>
      <x:c r="F129" s="27" t="str">
        <x:v>Required</x:v>
      </x:c>
      <x:c r="G129" s="27" t="str">
        <x:v>P0</x:v>
      </x:c>
      <x:c r="H129" s="27" t="str">
        <x:v>Not Started</x:v>
      </x:c>
      <x:c r="I129" s="27" t="str">
        <x:v>Janfon</x:v>
      </x:c>
      <x:c r="J129" s="21" t="str">
        <x:v>FBX clip on canonical Pusfume rig</x:v>
      </x:c>
      <x:c r="K129" s="21" t="str">
        <x:v>Animation event resolves, weapon grip remains aligned, and blend/recovery timing matches the selected weapon template.</x:v>
      </x:c>
      <x:c r="L129" s="21" t="str">
        <x:v>SRC-009: scripts/settings/equipment/weapon_templates/</x:v>
      </x:c>
      <x:c r="M129" s="21" t="str">
        <x:v>Author against the final supported weapon roster; reuse only after in-game grip and silhouette validation.</x:v>
      </x:c>
    </x:row>
    <x:row r="130" ht="46" customHeight="1">
      <x:c r="A130" s="24" t="str">
        <x:v>ANIM-126</x:v>
      </x:c>
      <x:c r="B130" s="21" t="str">
        <x:v>Weapon combat</x:v>
      </x:c>
      <x:c r="C130" s="21" t="str">
        <x:v>One-handed melee: Light attack</x:v>
      </x:c>
      <x:c r="D130" s="21" t="str">
        <x:v>Third person</x:v>
      </x:c>
      <x:c r="E130" s="21" t="str">
        <x:v>Left-to-right</x:v>
      </x:c>
      <x:c r="F130" s="27" t="str">
        <x:v>Required</x:v>
      </x:c>
      <x:c r="G130" s="27" t="str">
        <x:v>P0</x:v>
      </x:c>
      <x:c r="H130" s="27" t="str">
        <x:v>Not Started</x:v>
      </x:c>
      <x:c r="I130" s="27" t="str">
        <x:v>Janfon</x:v>
      </x:c>
      <x:c r="J130" s="21" t="str">
        <x:v>FBX clip on canonical Pusfume rig</x:v>
      </x:c>
      <x:c r="K130" s="21" t="str">
        <x:v>Animation event resolves, weapon grip remains aligned, and blend/recovery timing matches the selected weapon template.</x:v>
      </x:c>
      <x:c r="L130" s="21" t="str">
        <x:v>SRC-009: scripts/settings/equipment/weapon_templates/</x:v>
      </x:c>
      <x:c r="M130" s="21" t="str">
        <x:v>Author against the final supported weapon roster; reuse only after in-game grip and silhouette validation.</x:v>
      </x:c>
    </x:row>
    <x:row r="131" ht="46" customHeight="1">
      <x:c r="A131" s="24" t="str">
        <x:v>ANIM-127</x:v>
      </x:c>
      <x:c r="B131" s="21" t="str">
        <x:v>Weapon combat</x:v>
      </x:c>
      <x:c r="C131" s="21" t="str">
        <x:v>One-handed melee: Light attack</x:v>
      </x:c>
      <x:c r="D131" s="21" t="str">
        <x:v>First person</x:v>
      </x:c>
      <x:c r="E131" s="21" t="str">
        <x:v>Left-to-right</x:v>
      </x:c>
      <x:c r="F131" s="27" t="str">
        <x:v>Required</x:v>
      </x:c>
      <x:c r="G131" s="27" t="str">
        <x:v>P0</x:v>
      </x:c>
      <x:c r="H131" s="27" t="str">
        <x:v>Not Started</x:v>
      </x:c>
      <x:c r="I131" s="27" t="str">
        <x:v>Janfon</x:v>
      </x:c>
      <x:c r="J131" s="21" t="str">
        <x:v>FBX clip on canonical Pusfume rig</x:v>
      </x:c>
      <x:c r="K131" s="21" t="str">
        <x:v>Animation event resolves, weapon grip remains aligned, and blend/recovery timing matches the selected weapon template.</x:v>
      </x:c>
      <x:c r="L131" s="21" t="str">
        <x:v>SRC-009: scripts/settings/equipment/weapon_templates/</x:v>
      </x:c>
      <x:c r="M131" s="21" t="str">
        <x:v>Author against the final supported weapon roster; reuse only after in-game grip and silhouette validation.</x:v>
      </x:c>
    </x:row>
    <x:row r="132" ht="46" customHeight="1">
      <x:c r="A132" s="24" t="str">
        <x:v>ANIM-128</x:v>
      </x:c>
      <x:c r="B132" s="21" t="str">
        <x:v>Weapon combat</x:v>
      </x:c>
      <x:c r="C132" s="21" t="str">
        <x:v>One-handed melee: Light attack</x:v>
      </x:c>
      <x:c r="D132" s="21" t="str">
        <x:v>Third person</x:v>
      </x:c>
      <x:c r="E132" s="21" t="str">
        <x:v>Right-to-left</x:v>
      </x:c>
      <x:c r="F132" s="27" t="str">
        <x:v>Required</x:v>
      </x:c>
      <x:c r="G132" s="27" t="str">
        <x:v>P0</x:v>
      </x:c>
      <x:c r="H132" s="27" t="str">
        <x:v>Not Started</x:v>
      </x:c>
      <x:c r="I132" s="27" t="str">
        <x:v>Janfon</x:v>
      </x:c>
      <x:c r="J132" s="21" t="str">
        <x:v>FBX clip on canonical Pusfume rig</x:v>
      </x:c>
      <x:c r="K132" s="21" t="str">
        <x:v>Animation event resolves, weapon grip remains aligned, and blend/recovery timing matches the selected weapon template.</x:v>
      </x:c>
      <x:c r="L132" s="21" t="str">
        <x:v>SRC-009: scripts/settings/equipment/weapon_templates/</x:v>
      </x:c>
      <x:c r="M132" s="21" t="str">
        <x:v>Author against the final supported weapon roster; reuse only after in-game grip and silhouette validation.</x:v>
      </x:c>
    </x:row>
    <x:row r="133" ht="46" customHeight="1">
      <x:c r="A133" s="24" t="str">
        <x:v>ANIM-129</x:v>
      </x:c>
      <x:c r="B133" s="21" t="str">
        <x:v>Weapon combat</x:v>
      </x:c>
      <x:c r="C133" s="21" t="str">
        <x:v>One-handed melee: Light attack</x:v>
      </x:c>
      <x:c r="D133" s="21" t="str">
        <x:v>First person</x:v>
      </x:c>
      <x:c r="E133" s="21" t="str">
        <x:v>Right-to-left</x:v>
      </x:c>
      <x:c r="F133" s="27" t="str">
        <x:v>Required</x:v>
      </x:c>
      <x:c r="G133" s="27" t="str">
        <x:v>P0</x:v>
      </x:c>
      <x:c r="H133" s="27" t="str">
        <x:v>Not Started</x:v>
      </x:c>
      <x:c r="I133" s="27" t="str">
        <x:v>Janfon</x:v>
      </x:c>
      <x:c r="J133" s="21" t="str">
        <x:v>FBX clip on canonical Pusfume rig</x:v>
      </x:c>
      <x:c r="K133" s="21" t="str">
        <x:v>Animation event resolves, weapon grip remains aligned, and blend/recovery timing matches the selected weapon template.</x:v>
      </x:c>
      <x:c r="L133" s="21" t="str">
        <x:v>SRC-009: scripts/settings/equipment/weapon_templates/</x:v>
      </x:c>
      <x:c r="M133" s="21" t="str">
        <x:v>Author against the final supported weapon roster; reuse only after in-game grip and silhouette validation.</x:v>
      </x:c>
    </x:row>
    <x:row r="134" ht="46" customHeight="1">
      <x:c r="A134" s="24" t="str">
        <x:v>ANIM-130</x:v>
      </x:c>
      <x:c r="B134" s="21" t="str">
        <x:v>Weapon combat</x:v>
      </x:c>
      <x:c r="C134" s="21" t="str">
        <x:v>One-handed melee: Light attack</x:v>
      </x:c>
      <x:c r="D134" s="21" t="str">
        <x:v>Third person</x:v>
      </x:c>
      <x:c r="E134" s="21" t="str">
        <x:v>Overhead</x:v>
      </x:c>
      <x:c r="F134" s="27" t="str">
        <x:v>Required</x:v>
      </x:c>
      <x:c r="G134" s="27" t="str">
        <x:v>P0</x:v>
      </x:c>
      <x:c r="H134" s="27" t="str">
        <x:v>Not Started</x:v>
      </x:c>
      <x:c r="I134" s="27" t="str">
        <x:v>Janfon</x:v>
      </x:c>
      <x:c r="J134" s="21" t="str">
        <x:v>FBX clip on canonical Pusfume rig</x:v>
      </x:c>
      <x:c r="K134" s="21" t="str">
        <x:v>Animation event resolves, weapon grip remains aligned, and blend/recovery timing matches the selected weapon template.</x:v>
      </x:c>
      <x:c r="L134" s="21" t="str">
        <x:v>SRC-009: scripts/settings/equipment/weapon_templates/</x:v>
      </x:c>
      <x:c r="M134" s="21" t="str">
        <x:v>Author against the final supported weapon roster; reuse only after in-game grip and silhouette validation.</x:v>
      </x:c>
    </x:row>
    <x:row r="135" ht="46" customHeight="1">
      <x:c r="A135" s="24" t="str">
        <x:v>ANIM-131</x:v>
      </x:c>
      <x:c r="B135" s="21" t="str">
        <x:v>Weapon combat</x:v>
      </x:c>
      <x:c r="C135" s="21" t="str">
        <x:v>One-handed melee: Light attack</x:v>
      </x:c>
      <x:c r="D135" s="21" t="str">
        <x:v>First person</x:v>
      </x:c>
      <x:c r="E135" s="21" t="str">
        <x:v>Overhead</x:v>
      </x:c>
      <x:c r="F135" s="27" t="str">
        <x:v>Required</x:v>
      </x:c>
      <x:c r="G135" s="27" t="str">
        <x:v>P0</x:v>
      </x:c>
      <x:c r="H135" s="27" t="str">
        <x:v>Not Started</x:v>
      </x:c>
      <x:c r="I135" s="27" t="str">
        <x:v>Janfon</x:v>
      </x:c>
      <x:c r="J135" s="21" t="str">
        <x:v>FBX clip on canonical Pusfume rig</x:v>
      </x:c>
      <x:c r="K135" s="21" t="str">
        <x:v>Animation event resolves, weapon grip remains aligned, and blend/recovery timing matches the selected weapon template.</x:v>
      </x:c>
      <x:c r="L135" s="21" t="str">
        <x:v>SRC-009: scripts/settings/equipment/weapon_templates/</x:v>
      </x:c>
      <x:c r="M135" s="21" t="str">
        <x:v>Author against the final supported weapon roster; reuse only after in-game grip and silhouette validation.</x:v>
      </x:c>
    </x:row>
    <x:row r="136" ht="46" customHeight="1">
      <x:c r="A136" s="24" t="str">
        <x:v>ANIM-132</x:v>
      </x:c>
      <x:c r="B136" s="21" t="str">
        <x:v>Weapon combat</x:v>
      </x:c>
      <x:c r="C136" s="21" t="str">
        <x:v>One-handed melee: Light attack</x:v>
      </x:c>
      <x:c r="D136" s="21" t="str">
        <x:v>Third person</x:v>
      </x:c>
      <x:c r="E136" s="21" t="str">
        <x:v>Stab</x:v>
      </x:c>
      <x:c r="F136" s="27" t="str">
        <x:v>Required</x:v>
      </x:c>
      <x:c r="G136" s="27" t="str">
        <x:v>P0</x:v>
      </x:c>
      <x:c r="H136" s="27" t="str">
        <x:v>Not Started</x:v>
      </x:c>
      <x:c r="I136" s="27" t="str">
        <x:v>Janfon</x:v>
      </x:c>
      <x:c r="J136" s="21" t="str">
        <x:v>FBX clip on canonical Pusfume rig</x:v>
      </x:c>
      <x:c r="K136" s="21" t="str">
        <x:v>Animation event resolves, weapon grip remains aligned, and blend/recovery timing matches the selected weapon template.</x:v>
      </x:c>
      <x:c r="L136" s="21" t="str">
        <x:v>SRC-009: scripts/settings/equipment/weapon_templates/</x:v>
      </x:c>
      <x:c r="M136" s="21" t="str">
        <x:v>Author against the final supported weapon roster; reuse only after in-game grip and silhouette validation.</x:v>
      </x:c>
    </x:row>
    <x:row r="137" ht="46" customHeight="1">
      <x:c r="A137" s="24" t="str">
        <x:v>ANIM-133</x:v>
      </x:c>
      <x:c r="B137" s="21" t="str">
        <x:v>Weapon combat</x:v>
      </x:c>
      <x:c r="C137" s="21" t="str">
        <x:v>One-handed melee: Light attack</x:v>
      </x:c>
      <x:c r="D137" s="21" t="str">
        <x:v>First person</x:v>
      </x:c>
      <x:c r="E137" s="21" t="str">
        <x:v>Stab</x:v>
      </x:c>
      <x:c r="F137" s="27" t="str">
        <x:v>Required</x:v>
      </x:c>
      <x:c r="G137" s="27" t="str">
        <x:v>P0</x:v>
      </x:c>
      <x:c r="H137" s="27" t="str">
        <x:v>Not Started</x:v>
      </x:c>
      <x:c r="I137" s="27" t="str">
        <x:v>Janfon</x:v>
      </x:c>
      <x:c r="J137" s="21" t="str">
        <x:v>FBX clip on canonical Pusfume rig</x:v>
      </x:c>
      <x:c r="K137" s="21" t="str">
        <x:v>Animation event resolves, weapon grip remains aligned, and blend/recovery timing matches the selected weapon template.</x:v>
      </x:c>
      <x:c r="L137" s="21" t="str">
        <x:v>SRC-009: scripts/settings/equipment/weapon_templates/</x:v>
      </x:c>
      <x:c r="M137" s="21" t="str">
        <x:v>Author against the final supported weapon roster; reuse only after in-game grip and silhouette validation.</x:v>
      </x:c>
    </x:row>
    <x:row r="138" ht="46" customHeight="1">
      <x:c r="A138" s="24" t="str">
        <x:v>ANIM-134</x:v>
      </x:c>
      <x:c r="B138" s="21" t="str">
        <x:v>Weapon combat</x:v>
      </x:c>
      <x:c r="C138" s="21" t="str">
        <x:v>One-handed melee: Heavy charge pose</x:v>
      </x:c>
      <x:c r="D138" s="21" t="str">
        <x:v>Third person</x:v>
      </x:c>
      <x:c r="E138" s="21" t="str">
        <x:v>Left</x:v>
      </x:c>
      <x:c r="F138" s="27" t="str">
        <x:v>Required</x:v>
      </x:c>
      <x:c r="G138" s="27" t="str">
        <x:v>P1</x:v>
      </x:c>
      <x:c r="H138" s="27" t="str">
        <x:v>Not Started</x:v>
      </x:c>
      <x:c r="I138" s="27" t="str">
        <x:v>Janfon</x:v>
      </x:c>
      <x:c r="J138" s="21" t="str">
        <x:v>FBX clip on canonical Pusfume rig</x:v>
      </x:c>
      <x:c r="K138" s="21" t="str">
        <x:v>Animation event resolves, weapon grip remains aligned, and blend/recovery timing matches the selected weapon template.</x:v>
      </x:c>
      <x:c r="L138" s="21" t="str">
        <x:v>SRC-009: scripts/settings/equipment/weapon_templates/</x:v>
      </x:c>
      <x:c r="M138" s="21" t="str">
        <x:v>Author against the final supported weapon roster; reuse only after in-game grip and silhouette validation.</x:v>
      </x:c>
    </x:row>
    <x:row r="139" ht="46" customHeight="1">
      <x:c r="A139" s="24" t="str">
        <x:v>ANIM-135</x:v>
      </x:c>
      <x:c r="B139" s="21" t="str">
        <x:v>Weapon combat</x:v>
      </x:c>
      <x:c r="C139" s="21" t="str">
        <x:v>One-handed melee: Heavy charge pose</x:v>
      </x:c>
      <x:c r="D139" s="21" t="str">
        <x:v>First person</x:v>
      </x:c>
      <x:c r="E139" s="21" t="str">
        <x:v>Left</x:v>
      </x:c>
      <x:c r="F139" s="27" t="str">
        <x:v>Required</x:v>
      </x:c>
      <x:c r="G139" s="27" t="str">
        <x:v>P1</x:v>
      </x:c>
      <x:c r="H139" s="27" t="str">
        <x:v>Not Started</x:v>
      </x:c>
      <x:c r="I139" s="27" t="str">
        <x:v>Janfon</x:v>
      </x:c>
      <x:c r="J139" s="21" t="str">
        <x:v>FBX clip on canonical Pusfume rig</x:v>
      </x:c>
      <x:c r="K139" s="21" t="str">
        <x:v>Animation event resolves, weapon grip remains aligned, and blend/recovery timing matches the selected weapon template.</x:v>
      </x:c>
      <x:c r="L139" s="21" t="str">
        <x:v>SRC-009: scripts/settings/equipment/weapon_templates/</x:v>
      </x:c>
      <x:c r="M139" s="21" t="str">
        <x:v>Author against the final supported weapon roster; reuse only after in-game grip and silhouette validation.</x:v>
      </x:c>
    </x:row>
    <x:row r="140" ht="46" customHeight="1">
      <x:c r="A140" s="24" t="str">
        <x:v>ANIM-136</x:v>
      </x:c>
      <x:c r="B140" s="21" t="str">
        <x:v>Weapon combat</x:v>
      </x:c>
      <x:c r="C140" s="21" t="str">
        <x:v>One-handed melee: Heavy charge pose</x:v>
      </x:c>
      <x:c r="D140" s="21" t="str">
        <x:v>Third person</x:v>
      </x:c>
      <x:c r="E140" s="21" t="str">
        <x:v>Right</x:v>
      </x:c>
      <x:c r="F140" s="27" t="str">
        <x:v>Required</x:v>
      </x:c>
      <x:c r="G140" s="27" t="str">
        <x:v>P1</x:v>
      </x:c>
      <x:c r="H140" s="27" t="str">
        <x:v>Not Started</x:v>
      </x:c>
      <x:c r="I140" s="27" t="str">
        <x:v>Janfon</x:v>
      </x:c>
      <x:c r="J140" s="21" t="str">
        <x:v>FBX clip on canonical Pusfume rig</x:v>
      </x:c>
      <x:c r="K140" s="21" t="str">
        <x:v>Animation event resolves, weapon grip remains aligned, and blend/recovery timing matches the selected weapon template.</x:v>
      </x:c>
      <x:c r="L140" s="21" t="str">
        <x:v>SRC-009: scripts/settings/equipment/weapon_templates/</x:v>
      </x:c>
      <x:c r="M140" s="21" t="str">
        <x:v>Author against the final supported weapon roster; reuse only after in-game grip and silhouette validation.</x:v>
      </x:c>
    </x:row>
    <x:row r="141" ht="46" customHeight="1">
      <x:c r="A141" s="24" t="str">
        <x:v>ANIM-137</x:v>
      </x:c>
      <x:c r="B141" s="21" t="str">
        <x:v>Weapon combat</x:v>
      </x:c>
      <x:c r="C141" s="21" t="str">
        <x:v>One-handed melee: Heavy charge pose</x:v>
      </x:c>
      <x:c r="D141" s="21" t="str">
        <x:v>First person</x:v>
      </x:c>
      <x:c r="E141" s="21" t="str">
        <x:v>Right</x:v>
      </x:c>
      <x:c r="F141" s="27" t="str">
        <x:v>Required</x:v>
      </x:c>
      <x:c r="G141" s="27" t="str">
        <x:v>P1</x:v>
      </x:c>
      <x:c r="H141" s="27" t="str">
        <x:v>Not Started</x:v>
      </x:c>
      <x:c r="I141" s="27" t="str">
        <x:v>Janfon</x:v>
      </x:c>
      <x:c r="J141" s="21" t="str">
        <x:v>FBX clip on canonical Pusfume rig</x:v>
      </x:c>
      <x:c r="K141" s="21" t="str">
        <x:v>Animation event resolves, weapon grip remains aligned, and blend/recovery timing matches the selected weapon template.</x:v>
      </x:c>
      <x:c r="L141" s="21" t="str">
        <x:v>SRC-009: scripts/settings/equipment/weapon_templates/</x:v>
      </x:c>
      <x:c r="M141" s="21" t="str">
        <x:v>Author against the final supported weapon roster; reuse only after in-game grip and silhouette validation.</x:v>
      </x:c>
    </x:row>
    <x:row r="142" ht="46" customHeight="1">
      <x:c r="A142" s="24" t="str">
        <x:v>ANIM-138</x:v>
      </x:c>
      <x:c r="B142" s="21" t="str">
        <x:v>Weapon combat</x:v>
      </x:c>
      <x:c r="C142" s="21" t="str">
        <x:v>One-handed melee: Heavy attack</x:v>
      </x:c>
      <x:c r="D142" s="21" t="str">
        <x:v>Third person</x:v>
      </x:c>
      <x:c r="E142" s="21" t="str">
        <x:v>Diagonal</x:v>
      </x:c>
      <x:c r="F142" s="27" t="str">
        <x:v>Required</x:v>
      </x:c>
      <x:c r="G142" s="27" t="str">
        <x:v>P0</x:v>
      </x:c>
      <x:c r="H142" s="27" t="str">
        <x:v>Not Started</x:v>
      </x:c>
      <x:c r="I142" s="27" t="str">
        <x:v>Janfon</x:v>
      </x:c>
      <x:c r="J142" s="21" t="str">
        <x:v>FBX clip on canonical Pusfume rig</x:v>
      </x:c>
      <x:c r="K142" s="21" t="str">
        <x:v>Animation event resolves, weapon grip remains aligned, and blend/recovery timing matches the selected weapon template.</x:v>
      </x:c>
      <x:c r="L142" s="21" t="str">
        <x:v>SRC-009: scripts/settings/equipment/weapon_templates/</x:v>
      </x:c>
      <x:c r="M142" s="21" t="str">
        <x:v>Author against the final supported weapon roster; reuse only after in-game grip and silhouette validation.</x:v>
      </x:c>
    </x:row>
    <x:row r="143" ht="46" customHeight="1">
      <x:c r="A143" s="24" t="str">
        <x:v>ANIM-139</x:v>
      </x:c>
      <x:c r="B143" s="21" t="str">
        <x:v>Weapon combat</x:v>
      </x:c>
      <x:c r="C143" s="21" t="str">
        <x:v>One-handed melee: Heavy attack</x:v>
      </x:c>
      <x:c r="D143" s="21" t="str">
        <x:v>First person</x:v>
      </x:c>
      <x:c r="E143" s="21" t="str">
        <x:v>Diagonal</x:v>
      </x:c>
      <x:c r="F143" s="27" t="str">
        <x:v>Required</x:v>
      </x:c>
      <x:c r="G143" s="27" t="str">
        <x:v>P0</x:v>
      </x:c>
      <x:c r="H143" s="27" t="str">
        <x:v>Not Started</x:v>
      </x:c>
      <x:c r="I143" s="27" t="str">
        <x:v>Janfon</x:v>
      </x:c>
      <x:c r="J143" s="21" t="str">
        <x:v>FBX clip on canonical Pusfume rig</x:v>
      </x:c>
      <x:c r="K143" s="21" t="str">
        <x:v>Animation event resolves, weapon grip remains aligned, and blend/recovery timing matches the selected weapon template.</x:v>
      </x:c>
      <x:c r="L143" s="21" t="str">
        <x:v>SRC-009: scripts/settings/equipment/weapon_templates/</x:v>
      </x:c>
      <x:c r="M143" s="21" t="str">
        <x:v>Author against the final supported weapon roster; reuse only after in-game grip and silhouette validation.</x:v>
      </x:c>
    </x:row>
    <x:row r="144" ht="46" customHeight="1">
      <x:c r="A144" s="24" t="str">
        <x:v>ANIM-140</x:v>
      </x:c>
      <x:c r="B144" s="21" t="str">
        <x:v>Weapon combat</x:v>
      </x:c>
      <x:c r="C144" s="21" t="str">
        <x:v>One-handed melee: Heavy attack</x:v>
      </x:c>
      <x:c r="D144" s="21" t="str">
        <x:v>Third person</x:v>
      </x:c>
      <x:c r="E144" s="21" t="str">
        <x:v>Overhead</x:v>
      </x:c>
      <x:c r="F144" s="27" t="str">
        <x:v>Required</x:v>
      </x:c>
      <x:c r="G144" s="27" t="str">
        <x:v>P0</x:v>
      </x:c>
      <x:c r="H144" s="27" t="str">
        <x:v>Not Started</x:v>
      </x:c>
      <x:c r="I144" s="27" t="str">
        <x:v>Janfon</x:v>
      </x:c>
      <x:c r="J144" s="21" t="str">
        <x:v>FBX clip on canonical Pusfume rig</x:v>
      </x:c>
      <x:c r="K144" s="21" t="str">
        <x:v>Animation event resolves, weapon grip remains aligned, and blend/recovery timing matches the selected weapon template.</x:v>
      </x:c>
      <x:c r="L144" s="21" t="str">
        <x:v>SRC-009: scripts/settings/equipment/weapon_templates/</x:v>
      </x:c>
      <x:c r="M144" s="21" t="str">
        <x:v>Author against the final supported weapon roster; reuse only after in-game grip and silhouette validation.</x:v>
      </x:c>
    </x:row>
    <x:row r="145" ht="46" customHeight="1">
      <x:c r="A145" s="24" t="str">
        <x:v>ANIM-141</x:v>
      </x:c>
      <x:c r="B145" s="21" t="str">
        <x:v>Weapon combat</x:v>
      </x:c>
      <x:c r="C145" s="21" t="str">
        <x:v>One-handed melee: Heavy attack</x:v>
      </x:c>
      <x:c r="D145" s="21" t="str">
        <x:v>First person</x:v>
      </x:c>
      <x:c r="E145" s="21" t="str">
        <x:v>Overhead</x:v>
      </x:c>
      <x:c r="F145" s="27" t="str">
        <x:v>Required</x:v>
      </x:c>
      <x:c r="G145" s="27" t="str">
        <x:v>P0</x:v>
      </x:c>
      <x:c r="H145" s="27" t="str">
        <x:v>Not Started</x:v>
      </x:c>
      <x:c r="I145" s="27" t="str">
        <x:v>Janfon</x:v>
      </x:c>
      <x:c r="J145" s="21" t="str">
        <x:v>FBX clip on canonical Pusfume rig</x:v>
      </x:c>
      <x:c r="K145" s="21" t="str">
        <x:v>Animation event resolves, weapon grip remains aligned, and blend/recovery timing matches the selected weapon template.</x:v>
      </x:c>
      <x:c r="L145" s="21" t="str">
        <x:v>SRC-009: scripts/settings/equipment/weapon_templates/</x:v>
      </x:c>
      <x:c r="M145" s="21" t="str">
        <x:v>Author against the final supported weapon roster; reuse only after in-game grip and silhouette validation.</x:v>
      </x:c>
    </x:row>
    <x:row r="146" ht="46" customHeight="1">
      <x:c r="A146" s="24" t="str">
        <x:v>ANIM-142</x:v>
      </x:c>
      <x:c r="B146" s="21" t="str">
        <x:v>Weapon combat</x:v>
      </x:c>
      <x:c r="C146" s="21" t="str">
        <x:v>One-handed melee: Heavy attack</x:v>
      </x:c>
      <x:c r="D146" s="21" t="str">
        <x:v>Third person</x:v>
      </x:c>
      <x:c r="E146" s="21" t="str">
        <x:v>Stab</x:v>
      </x:c>
      <x:c r="F146" s="27" t="str">
        <x:v>Required</x:v>
      </x:c>
      <x:c r="G146" s="27" t="str">
        <x:v>P0</x:v>
      </x:c>
      <x:c r="H146" s="27" t="str">
        <x:v>Not Started</x:v>
      </x:c>
      <x:c r="I146" s="27" t="str">
        <x:v>Janfon</x:v>
      </x:c>
      <x:c r="J146" s="21" t="str">
        <x:v>FBX clip on canonical Pusfume rig</x:v>
      </x:c>
      <x:c r="K146" s="21" t="str">
        <x:v>Animation event resolves, weapon grip remains aligned, and blend/recovery timing matches the selected weapon template.</x:v>
      </x:c>
      <x:c r="L146" s="21" t="str">
        <x:v>SRC-009: scripts/settings/equipment/weapon_templates/</x:v>
      </x:c>
      <x:c r="M146" s="21" t="str">
        <x:v>Author against the final supported weapon roster; reuse only after in-game grip and silhouette validation.</x:v>
      </x:c>
    </x:row>
    <x:row r="147" ht="46" customHeight="1">
      <x:c r="A147" s="24" t="str">
        <x:v>ANIM-143</x:v>
      </x:c>
      <x:c r="B147" s="21" t="str">
        <x:v>Weapon combat</x:v>
      </x:c>
      <x:c r="C147" s="21" t="str">
        <x:v>One-handed melee: Heavy attack</x:v>
      </x:c>
      <x:c r="D147" s="21" t="str">
        <x:v>First person</x:v>
      </x:c>
      <x:c r="E147" s="21" t="str">
        <x:v>Stab</x:v>
      </x:c>
      <x:c r="F147" s="27" t="str">
        <x:v>Required</x:v>
      </x:c>
      <x:c r="G147" s="27" t="str">
        <x:v>P0</x:v>
      </x:c>
      <x:c r="H147" s="27" t="str">
        <x:v>Not Started</x:v>
      </x:c>
      <x:c r="I147" s="27" t="str">
        <x:v>Janfon</x:v>
      </x:c>
      <x:c r="J147" s="21" t="str">
        <x:v>FBX clip on canonical Pusfume rig</x:v>
      </x:c>
      <x:c r="K147" s="21" t="str">
        <x:v>Animation event resolves, weapon grip remains aligned, and blend/recovery timing matches the selected weapon template.</x:v>
      </x:c>
      <x:c r="L147" s="21" t="str">
        <x:v>SRC-009: scripts/settings/equipment/weapon_templates/</x:v>
      </x:c>
      <x:c r="M147" s="21" t="str">
        <x:v>Author against the final supported weapon roster; reuse only after in-game grip and silhouette validation.</x:v>
      </x:c>
    </x:row>
    <x:row r="148" ht="46" customHeight="1">
      <x:c r="A148" s="24" t="str">
        <x:v>ANIM-144</x:v>
      </x:c>
      <x:c r="B148" s="21" t="str">
        <x:v>Weapon combat</x:v>
      </x:c>
      <x:c r="C148" s="21" t="str">
        <x:v>One-handed melee: Block enter</x:v>
      </x:c>
      <x:c r="D148" s="21" t="str">
        <x:v>Third person</x:v>
      </x:c>
      <x:c r="E148" s="21" t="str">
        <x:v>Default</x:v>
      </x:c>
      <x:c r="F148" s="27" t="str">
        <x:v>Required</x:v>
      </x:c>
      <x:c r="G148" s="27" t="str">
        <x:v>P1</x:v>
      </x:c>
      <x:c r="H148" s="27" t="str">
        <x:v>Not Started</x:v>
      </x:c>
      <x:c r="I148" s="27" t="str">
        <x:v>Janfon</x:v>
      </x:c>
      <x:c r="J148" s="21" t="str">
        <x:v>FBX clip on canonical Pusfume rig</x:v>
      </x:c>
      <x:c r="K148" s="21" t="str">
        <x:v>Animation event resolves, weapon grip remains aligned, and blend/recovery timing matches the selected weapon template.</x:v>
      </x:c>
      <x:c r="L148" s="21" t="str">
        <x:v>SRC-009: scripts/settings/equipment/weapon_templates/</x:v>
      </x:c>
      <x:c r="M148" s="21" t="str">
        <x:v>Author against the final supported weapon roster; reuse only after in-game grip and silhouette validation.</x:v>
      </x:c>
    </x:row>
    <x:row r="149" ht="46" customHeight="1">
      <x:c r="A149" s="24" t="str">
        <x:v>ANIM-145</x:v>
      </x:c>
      <x:c r="B149" s="21" t="str">
        <x:v>Weapon combat</x:v>
      </x:c>
      <x:c r="C149" s="21" t="str">
        <x:v>One-handed melee: Block enter</x:v>
      </x:c>
      <x:c r="D149" s="21" t="str">
        <x:v>First person</x:v>
      </x:c>
      <x:c r="E149" s="21" t="str">
        <x:v>Default</x:v>
      </x:c>
      <x:c r="F149" s="27" t="str">
        <x:v>Required</x:v>
      </x:c>
      <x:c r="G149" s="27" t="str">
        <x:v>P1</x:v>
      </x:c>
      <x:c r="H149" s="27" t="str">
        <x:v>Not Started</x:v>
      </x:c>
      <x:c r="I149" s="27" t="str">
        <x:v>Janfon</x:v>
      </x:c>
      <x:c r="J149" s="21" t="str">
        <x:v>FBX clip on canonical Pusfume rig</x:v>
      </x:c>
      <x:c r="K149" s="21" t="str">
        <x:v>Animation event resolves, weapon grip remains aligned, and blend/recovery timing matches the selected weapon template.</x:v>
      </x:c>
      <x:c r="L149" s="21" t="str">
        <x:v>SRC-009: scripts/settings/equipment/weapon_templates/</x:v>
      </x:c>
      <x:c r="M149" s="21" t="str">
        <x:v>Author against the final supported weapon roster; reuse only after in-game grip and silhouette validation.</x:v>
      </x:c>
    </x:row>
    <x:row r="150" ht="46" customHeight="1">
      <x:c r="A150" s="24" t="str">
        <x:v>ANIM-146</x:v>
      </x:c>
      <x:c r="B150" s="21" t="str">
        <x:v>Weapon combat</x:v>
      </x:c>
      <x:c r="C150" s="21" t="str">
        <x:v>One-handed melee: Block idle</x:v>
      </x:c>
      <x:c r="D150" s="21" t="str">
        <x:v>Third person</x:v>
      </x:c>
      <x:c r="E150" s="21" t="str">
        <x:v>Default</x:v>
      </x:c>
      <x:c r="F150" s="27" t="str">
        <x:v>Required</x:v>
      </x:c>
      <x:c r="G150" s="27" t="str">
        <x:v>P0</x:v>
      </x:c>
      <x:c r="H150" s="27" t="str">
        <x:v>Not Started</x:v>
      </x:c>
      <x:c r="I150" s="27" t="str">
        <x:v>Janfon</x:v>
      </x:c>
      <x:c r="J150" s="21" t="str">
        <x:v>FBX clip on canonical Pusfume rig</x:v>
      </x:c>
      <x:c r="K150" s="21" t="str">
        <x:v>Animation event resolves, weapon grip remains aligned, and blend/recovery timing matches the selected weapon template.</x:v>
      </x:c>
      <x:c r="L150" s="21" t="str">
        <x:v>SRC-009: scripts/settings/equipment/weapon_templates/</x:v>
      </x:c>
      <x:c r="M150" s="21" t="str">
        <x:v>Author against the final supported weapon roster; reuse only after in-game grip and silhouette validation.</x:v>
      </x:c>
    </x:row>
    <x:row r="151" ht="46" customHeight="1">
      <x:c r="A151" s="24" t="str">
        <x:v>ANIM-147</x:v>
      </x:c>
      <x:c r="B151" s="21" t="str">
        <x:v>Weapon combat</x:v>
      </x:c>
      <x:c r="C151" s="21" t="str">
        <x:v>One-handed melee: Block idle</x:v>
      </x:c>
      <x:c r="D151" s="21" t="str">
        <x:v>First person</x:v>
      </x:c>
      <x:c r="E151" s="21" t="str">
        <x:v>Default</x:v>
      </x:c>
      <x:c r="F151" s="27" t="str">
        <x:v>Required</x:v>
      </x:c>
      <x:c r="G151" s="27" t="str">
        <x:v>P0</x:v>
      </x:c>
      <x:c r="H151" s="27" t="str">
        <x:v>Not Started</x:v>
      </x:c>
      <x:c r="I151" s="27" t="str">
        <x:v>Janfon</x:v>
      </x:c>
      <x:c r="J151" s="21" t="str">
        <x:v>FBX clip on canonical Pusfume rig</x:v>
      </x:c>
      <x:c r="K151" s="21" t="str">
        <x:v>Animation event resolves, weapon grip remains aligned, and blend/recovery timing matches the selected weapon template.</x:v>
      </x:c>
      <x:c r="L151" s="21" t="str">
        <x:v>SRC-009: scripts/settings/equipment/weapon_templates/</x:v>
      </x:c>
      <x:c r="M151" s="21" t="str">
        <x:v>Author against the final supported weapon roster; reuse only after in-game grip and silhouette validation.</x:v>
      </x:c>
    </x:row>
    <x:row r="152" ht="46" customHeight="1">
      <x:c r="A152" s="24" t="str">
        <x:v>ANIM-148</x:v>
      </x:c>
      <x:c r="B152" s="21" t="str">
        <x:v>Weapon combat</x:v>
      </x:c>
      <x:c r="C152" s="21" t="str">
        <x:v>One-handed melee: Block hit reaction</x:v>
      </x:c>
      <x:c r="D152" s="21" t="str">
        <x:v>Third person</x:v>
      </x:c>
      <x:c r="E152" s="21" t="str">
        <x:v>Light</x:v>
      </x:c>
      <x:c r="F152" s="27" t="str">
        <x:v>Required</x:v>
      </x:c>
      <x:c r="G152" s="27" t="str">
        <x:v>P1</x:v>
      </x:c>
      <x:c r="H152" s="27" t="str">
        <x:v>Not Started</x:v>
      </x:c>
      <x:c r="I152" s="27" t="str">
        <x:v>Janfon</x:v>
      </x:c>
      <x:c r="J152" s="21" t="str">
        <x:v>FBX clip on canonical Pusfume rig</x:v>
      </x:c>
      <x:c r="K152" s="21" t="str">
        <x:v>Animation event resolves, weapon grip remains aligned, and blend/recovery timing matches the selected weapon template.</x:v>
      </x:c>
      <x:c r="L152" s="21" t="str">
        <x:v>SRC-009: scripts/settings/equipment/weapon_templates/</x:v>
      </x:c>
      <x:c r="M152" s="21" t="str">
        <x:v>Author against the final supported weapon roster; reuse only after in-game grip and silhouette validation.</x:v>
      </x:c>
    </x:row>
    <x:row r="153" ht="46" customHeight="1">
      <x:c r="A153" s="24" t="str">
        <x:v>ANIM-149</x:v>
      </x:c>
      <x:c r="B153" s="21" t="str">
        <x:v>Weapon combat</x:v>
      </x:c>
      <x:c r="C153" s="21" t="str">
        <x:v>One-handed melee: Block hit reaction</x:v>
      </x:c>
      <x:c r="D153" s="21" t="str">
        <x:v>First person</x:v>
      </x:c>
      <x:c r="E153" s="21" t="str">
        <x:v>Light</x:v>
      </x:c>
      <x:c r="F153" s="27" t="str">
        <x:v>Required</x:v>
      </x:c>
      <x:c r="G153" s="27" t="str">
        <x:v>P1</x:v>
      </x:c>
      <x:c r="H153" s="27" t="str">
        <x:v>Not Started</x:v>
      </x:c>
      <x:c r="I153" s="27" t="str">
        <x:v>Janfon</x:v>
      </x:c>
      <x:c r="J153" s="21" t="str">
        <x:v>FBX clip on canonical Pusfume rig</x:v>
      </x:c>
      <x:c r="K153" s="21" t="str">
        <x:v>Animation event resolves, weapon grip remains aligned, and blend/recovery timing matches the selected weapon template.</x:v>
      </x:c>
      <x:c r="L153" s="21" t="str">
        <x:v>SRC-009: scripts/settings/equipment/weapon_templates/</x:v>
      </x:c>
      <x:c r="M153" s="21" t="str">
        <x:v>Author against the final supported weapon roster; reuse only after in-game grip and silhouette validation.</x:v>
      </x:c>
    </x:row>
    <x:row r="154" ht="46" customHeight="1">
      <x:c r="A154" s="24" t="str">
        <x:v>ANIM-150</x:v>
      </x:c>
      <x:c r="B154" s="21" t="str">
        <x:v>Weapon combat</x:v>
      </x:c>
      <x:c r="C154" s="21" t="str">
        <x:v>One-handed melee: Block hit reaction</x:v>
      </x:c>
      <x:c r="D154" s="21" t="str">
        <x:v>Third person</x:v>
      </x:c>
      <x:c r="E154" s="21" t="str">
        <x:v>Heavy</x:v>
      </x:c>
      <x:c r="F154" s="27" t="str">
        <x:v>Required</x:v>
      </x:c>
      <x:c r="G154" s="27" t="str">
        <x:v>P1</x:v>
      </x:c>
      <x:c r="H154" s="27" t="str">
        <x:v>Not Started</x:v>
      </x:c>
      <x:c r="I154" s="27" t="str">
        <x:v>Janfon</x:v>
      </x:c>
      <x:c r="J154" s="21" t="str">
        <x:v>FBX clip on canonical Pusfume rig</x:v>
      </x:c>
      <x:c r="K154" s="21" t="str">
        <x:v>Animation event resolves, weapon grip remains aligned, and blend/recovery timing matches the selected weapon template.</x:v>
      </x:c>
      <x:c r="L154" s="21" t="str">
        <x:v>SRC-009: scripts/settings/equipment/weapon_templates/</x:v>
      </x:c>
      <x:c r="M154" s="21" t="str">
        <x:v>Author against the final supported weapon roster; reuse only after in-game grip and silhouette validation.</x:v>
      </x:c>
    </x:row>
    <x:row r="155" ht="46" customHeight="1">
      <x:c r="A155" s="24" t="str">
        <x:v>ANIM-151</x:v>
      </x:c>
      <x:c r="B155" s="21" t="str">
        <x:v>Weapon combat</x:v>
      </x:c>
      <x:c r="C155" s="21" t="str">
        <x:v>One-handed melee: Block hit reaction</x:v>
      </x:c>
      <x:c r="D155" s="21" t="str">
        <x:v>First person</x:v>
      </x:c>
      <x:c r="E155" s="21" t="str">
        <x:v>Heavy</x:v>
      </x:c>
      <x:c r="F155" s="27" t="str">
        <x:v>Required</x:v>
      </x:c>
      <x:c r="G155" s="27" t="str">
        <x:v>P1</x:v>
      </x:c>
      <x:c r="H155" s="27" t="str">
        <x:v>Not Started</x:v>
      </x:c>
      <x:c r="I155" s="27" t="str">
        <x:v>Janfon</x:v>
      </x:c>
      <x:c r="J155" s="21" t="str">
        <x:v>FBX clip on canonical Pusfume rig</x:v>
      </x:c>
      <x:c r="K155" s="21" t="str">
        <x:v>Animation event resolves, weapon grip remains aligned, and blend/recovery timing matches the selected weapon template.</x:v>
      </x:c>
      <x:c r="L155" s="21" t="str">
        <x:v>SRC-009: scripts/settings/equipment/weapon_templates/</x:v>
      </x:c>
      <x:c r="M155" s="21" t="str">
        <x:v>Author against the final supported weapon roster; reuse only after in-game grip and silhouette validation.</x:v>
      </x:c>
    </x:row>
    <x:row r="156" ht="46" customHeight="1">
      <x:c r="A156" s="24" t="str">
        <x:v>ANIM-152</x:v>
      </x:c>
      <x:c r="B156" s="21" t="str">
        <x:v>Weapon combat</x:v>
      </x:c>
      <x:c r="C156" s="21" t="str">
        <x:v>One-handed melee: Push</x:v>
      </x:c>
      <x:c r="D156" s="21" t="str">
        <x:v>Third person</x:v>
      </x:c>
      <x:c r="E156" s="21" t="str">
        <x:v>Default</x:v>
      </x:c>
      <x:c r="F156" s="27" t="str">
        <x:v>Required</x:v>
      </x:c>
      <x:c r="G156" s="27" t="str">
        <x:v>P1</x:v>
      </x:c>
      <x:c r="H156" s="27" t="str">
        <x:v>Not Started</x:v>
      </x:c>
      <x:c r="I156" s="27" t="str">
        <x:v>Janfon</x:v>
      </x:c>
      <x:c r="J156" s="21" t="str">
        <x:v>FBX clip on canonical Pusfume rig</x:v>
      </x:c>
      <x:c r="K156" s="21" t="str">
        <x:v>Animation event resolves, weapon grip remains aligned, and blend/recovery timing matches the selected weapon template.</x:v>
      </x:c>
      <x:c r="L156" s="21" t="str">
        <x:v>SRC-009: scripts/settings/equipment/weapon_templates/</x:v>
      </x:c>
      <x:c r="M156" s="21" t="str">
        <x:v>Author against the final supported weapon roster; reuse only after in-game grip and silhouette validation.</x:v>
      </x:c>
    </x:row>
    <x:row r="157" ht="46" customHeight="1">
      <x:c r="A157" s="24" t="str">
        <x:v>ANIM-153</x:v>
      </x:c>
      <x:c r="B157" s="21" t="str">
        <x:v>Weapon combat</x:v>
      </x:c>
      <x:c r="C157" s="21" t="str">
        <x:v>One-handed melee: Push</x:v>
      </x:c>
      <x:c r="D157" s="21" t="str">
        <x:v>First person</x:v>
      </x:c>
      <x:c r="E157" s="21" t="str">
        <x:v>Default</x:v>
      </x:c>
      <x:c r="F157" s="27" t="str">
        <x:v>Required</x:v>
      </x:c>
      <x:c r="G157" s="27" t="str">
        <x:v>P1</x:v>
      </x:c>
      <x:c r="H157" s="27" t="str">
        <x:v>Not Started</x:v>
      </x:c>
      <x:c r="I157" s="27" t="str">
        <x:v>Janfon</x:v>
      </x:c>
      <x:c r="J157" s="21" t="str">
        <x:v>FBX clip on canonical Pusfume rig</x:v>
      </x:c>
      <x:c r="K157" s="21" t="str">
        <x:v>Animation event resolves, weapon grip remains aligned, and blend/recovery timing matches the selected weapon template.</x:v>
      </x:c>
      <x:c r="L157" s="21" t="str">
        <x:v>SRC-009: scripts/settings/equipment/weapon_templates/</x:v>
      </x:c>
      <x:c r="M157" s="21" t="str">
        <x:v>Author against the final supported weapon roster; reuse only after in-game grip and silhouette validation.</x:v>
      </x:c>
    </x:row>
    <x:row r="158" ht="46" customHeight="1">
      <x:c r="A158" s="24" t="str">
        <x:v>ANIM-154</x:v>
      </x:c>
      <x:c r="B158" s="21" t="str">
        <x:v>Weapon combat</x:v>
      </x:c>
      <x:c r="C158" s="21" t="str">
        <x:v>One-handed melee: Push-follow-up</x:v>
      </x:c>
      <x:c r="D158" s="21" t="str">
        <x:v>Third person</x:v>
      </x:c>
      <x:c r="E158" s="21" t="str">
        <x:v>Default</x:v>
      </x:c>
      <x:c r="F158" s="27" t="str">
        <x:v>Required</x:v>
      </x:c>
      <x:c r="G158" s="27" t="str">
        <x:v>P1</x:v>
      </x:c>
      <x:c r="H158" s="27" t="str">
        <x:v>Not Started</x:v>
      </x:c>
      <x:c r="I158" s="27" t="str">
        <x:v>Janfon</x:v>
      </x:c>
      <x:c r="J158" s="21" t="str">
        <x:v>FBX clip on canonical Pusfume rig</x:v>
      </x:c>
      <x:c r="K158" s="21" t="str">
        <x:v>Animation event resolves, weapon grip remains aligned, and blend/recovery timing matches the selected weapon template.</x:v>
      </x:c>
      <x:c r="L158" s="21" t="str">
        <x:v>SRC-009: scripts/settings/equipment/weapon_templates/</x:v>
      </x:c>
      <x:c r="M158" s="21" t="str">
        <x:v>Author against the final supported weapon roster; reuse only after in-game grip and silhouette validation.</x:v>
      </x:c>
    </x:row>
    <x:row r="159" ht="46" customHeight="1">
      <x:c r="A159" s="24" t="str">
        <x:v>ANIM-155</x:v>
      </x:c>
      <x:c r="B159" s="21" t="str">
        <x:v>Weapon combat</x:v>
      </x:c>
      <x:c r="C159" s="21" t="str">
        <x:v>One-handed melee: Push-follow-up</x:v>
      </x:c>
      <x:c r="D159" s="21" t="str">
        <x:v>First person</x:v>
      </x:c>
      <x:c r="E159" s="21" t="str">
        <x:v>Default</x:v>
      </x:c>
      <x:c r="F159" s="27" t="str">
        <x:v>Required</x:v>
      </x:c>
      <x:c r="G159" s="27" t="str">
        <x:v>P1</x:v>
      </x:c>
      <x:c r="H159" s="27" t="str">
        <x:v>Not Started</x:v>
      </x:c>
      <x:c r="I159" s="27" t="str">
        <x:v>Janfon</x:v>
      </x:c>
      <x:c r="J159" s="21" t="str">
        <x:v>FBX clip on canonical Pusfume rig</x:v>
      </x:c>
      <x:c r="K159" s="21" t="str">
        <x:v>Animation event resolves, weapon grip remains aligned, and blend/recovery timing matches the selected weapon template.</x:v>
      </x:c>
      <x:c r="L159" s="21" t="str">
        <x:v>SRC-009: scripts/settings/equipment/weapon_templates/</x:v>
      </x:c>
      <x:c r="M159" s="21" t="str">
        <x:v>Author against the final supported weapon roster; reuse only after in-game grip and silhouette validation.</x:v>
      </x:c>
    </x:row>
    <x:row r="160" ht="46" customHeight="1">
      <x:c r="A160" s="24" t="str">
        <x:v>ANIM-156</x:v>
      </x:c>
      <x:c r="B160" s="21" t="str">
        <x:v>Weapon combat</x:v>
      </x:c>
      <x:c r="C160" s="21" t="str">
        <x:v>One-handed melee: Parry</x:v>
      </x:c>
      <x:c r="D160" s="21" t="str">
        <x:v>Third person</x:v>
      </x:c>
      <x:c r="E160" s="21" t="str">
        <x:v>Default</x:v>
      </x:c>
      <x:c r="F160" s="27" t="str">
        <x:v>Required</x:v>
      </x:c>
      <x:c r="G160" s="27" t="str">
        <x:v>P1</x:v>
      </x:c>
      <x:c r="H160" s="27" t="str">
        <x:v>Not Started</x:v>
      </x:c>
      <x:c r="I160" s="27" t="str">
        <x:v>Janfon</x:v>
      </x:c>
      <x:c r="J160" s="21" t="str">
        <x:v>FBX clip on canonical Pusfume rig</x:v>
      </x:c>
      <x:c r="K160" s="21" t="str">
        <x:v>Animation event resolves, weapon grip remains aligned, and blend/recovery timing matches the selected weapon template.</x:v>
      </x:c>
      <x:c r="L160" s="21" t="str">
        <x:v>SRC-009: scripts/settings/equipment/weapon_templates/</x:v>
      </x:c>
      <x:c r="M160" s="21" t="str">
        <x:v>Author against the final supported weapon roster; reuse only after in-game grip and silhouette validation.</x:v>
      </x:c>
    </x:row>
    <x:row r="161" ht="46" customHeight="1">
      <x:c r="A161" s="24" t="str">
        <x:v>ANIM-157</x:v>
      </x:c>
      <x:c r="B161" s="21" t="str">
        <x:v>Weapon combat</x:v>
      </x:c>
      <x:c r="C161" s="21" t="str">
        <x:v>One-handed melee: Parry</x:v>
      </x:c>
      <x:c r="D161" s="21" t="str">
        <x:v>First person</x:v>
      </x:c>
      <x:c r="E161" s="21" t="str">
        <x:v>Default</x:v>
      </x:c>
      <x:c r="F161" s="27" t="str">
        <x:v>Required</x:v>
      </x:c>
      <x:c r="G161" s="27" t="str">
        <x:v>P1</x:v>
      </x:c>
      <x:c r="H161" s="27" t="str">
        <x:v>Not Started</x:v>
      </x:c>
      <x:c r="I161" s="27" t="str">
        <x:v>Janfon</x:v>
      </x:c>
      <x:c r="J161" s="21" t="str">
        <x:v>FBX clip on canonical Pusfume rig</x:v>
      </x:c>
      <x:c r="K161" s="21" t="str">
        <x:v>Animation event resolves, weapon grip remains aligned, and blend/recovery timing matches the selected weapon template.</x:v>
      </x:c>
      <x:c r="L161" s="21" t="str">
        <x:v>SRC-009: scripts/settings/equipment/weapon_templates/</x:v>
      </x:c>
      <x:c r="M161" s="21" t="str">
        <x:v>Author against the final supported weapon roster; reuse only after in-game grip and silhouette validation.</x:v>
      </x:c>
    </x:row>
    <x:row r="162" ht="46" customHeight="1">
      <x:c r="A162" s="24" t="str">
        <x:v>ANIM-158</x:v>
      </x:c>
      <x:c r="B162" s="21" t="str">
        <x:v>Weapon combat</x:v>
      </x:c>
      <x:c r="C162" s="21" t="str">
        <x:v>One-handed melee: Attack cancel / recover</x:v>
      </x:c>
      <x:c r="D162" s="21" t="str">
        <x:v>Third person</x:v>
      </x:c>
      <x:c r="E162" s="21" t="str">
        <x:v>Default</x:v>
      </x:c>
      <x:c r="F162" s="27" t="str">
        <x:v>Required</x:v>
      </x:c>
      <x:c r="G162" s="27" t="str">
        <x:v>P1</x:v>
      </x:c>
      <x:c r="H162" s="27" t="str">
        <x:v>Not Started</x:v>
      </x:c>
      <x:c r="I162" s="27" t="str">
        <x:v>Janfon</x:v>
      </x:c>
      <x:c r="J162" s="21" t="str">
        <x:v>FBX clip on canonical Pusfume rig</x:v>
      </x:c>
      <x:c r="K162" s="21" t="str">
        <x:v>Animation event resolves, weapon grip remains aligned, and blend/recovery timing matches the selected weapon template.</x:v>
      </x:c>
      <x:c r="L162" s="21" t="str">
        <x:v>SRC-009: scripts/settings/equipment/weapon_templates/</x:v>
      </x:c>
      <x:c r="M162" s="21" t="str">
        <x:v>Author against the final supported weapon roster; reuse only after in-game grip and silhouette validation.</x:v>
      </x:c>
    </x:row>
    <x:row r="163" ht="46" customHeight="1">
      <x:c r="A163" s="24" t="str">
        <x:v>ANIM-159</x:v>
      </x:c>
      <x:c r="B163" s="21" t="str">
        <x:v>Weapon combat</x:v>
      </x:c>
      <x:c r="C163" s="21" t="str">
        <x:v>One-handed melee: Attack cancel / recover</x:v>
      </x:c>
      <x:c r="D163" s="21" t="str">
        <x:v>First person</x:v>
      </x:c>
      <x:c r="E163" s="21" t="str">
        <x:v>Default</x:v>
      </x:c>
      <x:c r="F163" s="27" t="str">
        <x:v>Required</x:v>
      </x:c>
      <x:c r="G163" s="27" t="str">
        <x:v>P1</x:v>
      </x:c>
      <x:c r="H163" s="27" t="str">
        <x:v>Not Started</x:v>
      </x:c>
      <x:c r="I163" s="27" t="str">
        <x:v>Janfon</x:v>
      </x:c>
      <x:c r="J163" s="21" t="str">
        <x:v>FBX clip on canonical Pusfume rig</x:v>
      </x:c>
      <x:c r="K163" s="21" t="str">
        <x:v>Animation event resolves, weapon grip remains aligned, and blend/recovery timing matches the selected weapon template.</x:v>
      </x:c>
      <x:c r="L163" s="21" t="str">
        <x:v>SRC-009: scripts/settings/equipment/weapon_templates/</x:v>
      </x:c>
      <x:c r="M163" s="21" t="str">
        <x:v>Author against the final supported weapon roster; reuse only after in-game grip and silhouette validation.</x:v>
      </x:c>
    </x:row>
    <x:row r="164" ht="46" customHeight="1">
      <x:c r="A164" s="24" t="str">
        <x:v>ANIM-160</x:v>
      </x:c>
      <x:c r="B164" s="21" t="str">
        <x:v>Weapon combat</x:v>
      </x:c>
      <x:c r="C164" s="21" t="str">
        <x:v>Two-handed melee: Equip / draw</x:v>
      </x:c>
      <x:c r="D164" s="21" t="str">
        <x:v>Third person</x:v>
      </x:c>
      <x:c r="E164" s="21" t="str">
        <x:v>Default</x:v>
      </x:c>
      <x:c r="F164" s="27" t="str">
        <x:v>Required</x:v>
      </x:c>
      <x:c r="G164" s="27" t="str">
        <x:v>P1</x:v>
      </x:c>
      <x:c r="H164" s="27" t="str">
        <x:v>Not Started</x:v>
      </x:c>
      <x:c r="I164" s="27" t="str">
        <x:v>Janfon</x:v>
      </x:c>
      <x:c r="J164" s="21" t="str">
        <x:v>FBX clip on canonical Pusfume rig</x:v>
      </x:c>
      <x:c r="K164" s="21" t="str">
        <x:v>Animation event resolves, weapon grip remains aligned, and blend/recovery timing matches the selected weapon template.</x:v>
      </x:c>
      <x:c r="L164" s="21" t="str">
        <x:v>SRC-009: scripts/settings/equipment/weapon_templates/</x:v>
      </x:c>
      <x:c r="M164" s="21" t="str">
        <x:v>Author against the final supported weapon roster; reuse only after in-game grip and silhouette validation.</x:v>
      </x:c>
    </x:row>
    <x:row r="165" ht="46" customHeight="1">
      <x:c r="A165" s="24" t="str">
        <x:v>ANIM-161</x:v>
      </x:c>
      <x:c r="B165" s="21" t="str">
        <x:v>Weapon combat</x:v>
      </x:c>
      <x:c r="C165" s="21" t="str">
        <x:v>Two-handed melee: Equip / draw</x:v>
      </x:c>
      <x:c r="D165" s="21" t="str">
        <x:v>First person</x:v>
      </x:c>
      <x:c r="E165" s="21" t="str">
        <x:v>Default</x:v>
      </x:c>
      <x:c r="F165" s="27" t="str">
        <x:v>Required</x:v>
      </x:c>
      <x:c r="G165" s="27" t="str">
        <x:v>P1</x:v>
      </x:c>
      <x:c r="H165" s="27" t="str">
        <x:v>Not Started</x:v>
      </x:c>
      <x:c r="I165" s="27" t="str">
        <x:v>Janfon</x:v>
      </x:c>
      <x:c r="J165" s="21" t="str">
        <x:v>FBX clip on canonical Pusfume rig</x:v>
      </x:c>
      <x:c r="K165" s="21" t="str">
        <x:v>Animation event resolves, weapon grip remains aligned, and blend/recovery timing matches the selected weapon template.</x:v>
      </x:c>
      <x:c r="L165" s="21" t="str">
        <x:v>SRC-009: scripts/settings/equipment/weapon_templates/</x:v>
      </x:c>
      <x:c r="M165" s="21" t="str">
        <x:v>Author against the final supported weapon roster; reuse only after in-game grip and silhouette validation.</x:v>
      </x:c>
    </x:row>
    <x:row r="166" ht="46" customHeight="1">
      <x:c r="A166" s="24" t="str">
        <x:v>ANIM-162</x:v>
      </x:c>
      <x:c r="B166" s="21" t="str">
        <x:v>Weapon combat</x:v>
      </x:c>
      <x:c r="C166" s="21" t="str">
        <x:v>Two-handed melee: Unequip / stow</x:v>
      </x:c>
      <x:c r="D166" s="21" t="str">
        <x:v>Third person</x:v>
      </x:c>
      <x:c r="E166" s="21" t="str">
        <x:v>Default</x:v>
      </x:c>
      <x:c r="F166" s="27" t="str">
        <x:v>Required</x:v>
      </x:c>
      <x:c r="G166" s="27" t="str">
        <x:v>P1</x:v>
      </x:c>
      <x:c r="H166" s="27" t="str">
        <x:v>Not Started</x:v>
      </x:c>
      <x:c r="I166" s="27" t="str">
        <x:v>Janfon</x:v>
      </x:c>
      <x:c r="J166" s="21" t="str">
        <x:v>FBX clip on canonical Pusfume rig</x:v>
      </x:c>
      <x:c r="K166" s="21" t="str">
        <x:v>Animation event resolves, weapon grip remains aligned, and blend/recovery timing matches the selected weapon template.</x:v>
      </x:c>
      <x:c r="L166" s="21" t="str">
        <x:v>SRC-009: scripts/settings/equipment/weapon_templates/</x:v>
      </x:c>
      <x:c r="M166" s="21" t="str">
        <x:v>Author against the final supported weapon roster; reuse only after in-game grip and silhouette validation.</x:v>
      </x:c>
    </x:row>
    <x:row r="167" ht="46" customHeight="1">
      <x:c r="A167" s="24" t="str">
        <x:v>ANIM-163</x:v>
      </x:c>
      <x:c r="B167" s="21" t="str">
        <x:v>Weapon combat</x:v>
      </x:c>
      <x:c r="C167" s="21" t="str">
        <x:v>Two-handed melee: Unequip / stow</x:v>
      </x:c>
      <x:c r="D167" s="21" t="str">
        <x:v>First person</x:v>
      </x:c>
      <x:c r="E167" s="21" t="str">
        <x:v>Default</x:v>
      </x:c>
      <x:c r="F167" s="27" t="str">
        <x:v>Required</x:v>
      </x:c>
      <x:c r="G167" s="27" t="str">
        <x:v>P1</x:v>
      </x:c>
      <x:c r="H167" s="27" t="str">
        <x:v>Not Started</x:v>
      </x:c>
      <x:c r="I167" s="27" t="str">
        <x:v>Janfon</x:v>
      </x:c>
      <x:c r="J167" s="21" t="str">
        <x:v>FBX clip on canonical Pusfume rig</x:v>
      </x:c>
      <x:c r="K167" s="21" t="str">
        <x:v>Animation event resolves, weapon grip remains aligned, and blend/recovery timing matches the selected weapon template.</x:v>
      </x:c>
      <x:c r="L167" s="21" t="str">
        <x:v>SRC-009: scripts/settings/equipment/weapon_templates/</x:v>
      </x:c>
      <x:c r="M167" s="21" t="str">
        <x:v>Author against the final supported weapon roster; reuse only after in-game grip and silhouette validation.</x:v>
      </x:c>
    </x:row>
    <x:row r="168" ht="46" customHeight="1">
      <x:c r="A168" s="24" t="str">
        <x:v>ANIM-164</x:v>
      </x:c>
      <x:c r="B168" s="21" t="str">
        <x:v>Weapon combat</x:v>
      </x:c>
      <x:c r="C168" s="21" t="str">
        <x:v>Two-handed melee: Weapon idle</x:v>
      </x:c>
      <x:c r="D168" s="21" t="str">
        <x:v>Third person</x:v>
      </x:c>
      <x:c r="E168" s="21" t="str">
        <x:v>Default</x:v>
      </x:c>
      <x:c r="F168" s="27" t="str">
        <x:v>Required</x:v>
      </x:c>
      <x:c r="G168" s="27" t="str">
        <x:v>P0</x:v>
      </x:c>
      <x:c r="H168" s="27" t="str">
        <x:v>Not Started</x:v>
      </x:c>
      <x:c r="I168" s="27" t="str">
        <x:v>Janfon</x:v>
      </x:c>
      <x:c r="J168" s="21" t="str">
        <x:v>FBX clip on canonical Pusfume rig</x:v>
      </x:c>
      <x:c r="K168" s="21" t="str">
        <x:v>Animation event resolves, weapon grip remains aligned, and blend/recovery timing matches the selected weapon template.</x:v>
      </x:c>
      <x:c r="L168" s="21" t="str">
        <x:v>SRC-009: scripts/settings/equipment/weapon_templates/</x:v>
      </x:c>
      <x:c r="M168" s="21" t="str">
        <x:v>Author against the final supported weapon roster; reuse only after in-game grip and silhouette validation.</x:v>
      </x:c>
    </x:row>
    <x:row r="169" ht="46" customHeight="1">
      <x:c r="A169" s="24" t="str">
        <x:v>ANIM-165</x:v>
      </x:c>
      <x:c r="B169" s="21" t="str">
        <x:v>Weapon combat</x:v>
      </x:c>
      <x:c r="C169" s="21" t="str">
        <x:v>Two-handed melee: Weapon idle</x:v>
      </x:c>
      <x:c r="D169" s="21" t="str">
        <x:v>First person</x:v>
      </x:c>
      <x:c r="E169" s="21" t="str">
        <x:v>Default</x:v>
      </x:c>
      <x:c r="F169" s="27" t="str">
        <x:v>Required</x:v>
      </x:c>
      <x:c r="G169" s="27" t="str">
        <x:v>P0</x:v>
      </x:c>
      <x:c r="H169" s="27" t="str">
        <x:v>Not Started</x:v>
      </x:c>
      <x:c r="I169" s="27" t="str">
        <x:v>Janfon</x:v>
      </x:c>
      <x:c r="J169" s="21" t="str">
        <x:v>FBX clip on canonical Pusfume rig</x:v>
      </x:c>
      <x:c r="K169" s="21" t="str">
        <x:v>Animation event resolves, weapon grip remains aligned, and blend/recovery timing matches the selected weapon template.</x:v>
      </x:c>
      <x:c r="L169" s="21" t="str">
        <x:v>SRC-009: scripts/settings/equipment/weapon_templates/</x:v>
      </x:c>
      <x:c r="M169" s="21" t="str">
        <x:v>Author against the final supported weapon roster; reuse only after in-game grip and silhouette validation.</x:v>
      </x:c>
    </x:row>
    <x:row r="170" ht="46" customHeight="1">
      <x:c r="A170" s="24" t="str">
        <x:v>ANIM-166</x:v>
      </x:c>
      <x:c r="B170" s="21" t="str">
        <x:v>Weapon combat</x:v>
      </x:c>
      <x:c r="C170" s="21" t="str">
        <x:v>Two-handed melee: Light attack</x:v>
      </x:c>
      <x:c r="D170" s="21" t="str">
        <x:v>Third person</x:v>
      </x:c>
      <x:c r="E170" s="21" t="str">
        <x:v>Left-to-right</x:v>
      </x:c>
      <x:c r="F170" s="27" t="str">
        <x:v>Required</x:v>
      </x:c>
      <x:c r="G170" s="27" t="str">
        <x:v>P0</x:v>
      </x:c>
      <x:c r="H170" s="27" t="str">
        <x:v>Not Started</x:v>
      </x:c>
      <x:c r="I170" s="27" t="str">
        <x:v>Janfon</x:v>
      </x:c>
      <x:c r="J170" s="21" t="str">
        <x:v>FBX clip on canonical Pusfume rig</x:v>
      </x:c>
      <x:c r="K170" s="21" t="str">
        <x:v>Animation event resolves, weapon grip remains aligned, and blend/recovery timing matches the selected weapon template.</x:v>
      </x:c>
      <x:c r="L170" s="21" t="str">
        <x:v>SRC-009: scripts/settings/equipment/weapon_templates/</x:v>
      </x:c>
      <x:c r="M170" s="21" t="str">
        <x:v>Author against the final supported weapon roster; reuse only after in-game grip and silhouette validation.</x:v>
      </x:c>
    </x:row>
    <x:row r="171" ht="46" customHeight="1">
      <x:c r="A171" s="24" t="str">
        <x:v>ANIM-167</x:v>
      </x:c>
      <x:c r="B171" s="21" t="str">
        <x:v>Weapon combat</x:v>
      </x:c>
      <x:c r="C171" s="21" t="str">
        <x:v>Two-handed melee: Light attack</x:v>
      </x:c>
      <x:c r="D171" s="21" t="str">
        <x:v>First person</x:v>
      </x:c>
      <x:c r="E171" s="21" t="str">
        <x:v>Left-to-right</x:v>
      </x:c>
      <x:c r="F171" s="27" t="str">
        <x:v>Required</x:v>
      </x:c>
      <x:c r="G171" s="27" t="str">
        <x:v>P0</x:v>
      </x:c>
      <x:c r="H171" s="27" t="str">
        <x:v>Not Started</x:v>
      </x:c>
      <x:c r="I171" s="27" t="str">
        <x:v>Janfon</x:v>
      </x:c>
      <x:c r="J171" s="21" t="str">
        <x:v>FBX clip on canonical Pusfume rig</x:v>
      </x:c>
      <x:c r="K171" s="21" t="str">
        <x:v>Animation event resolves, weapon grip remains aligned, and blend/recovery timing matches the selected weapon template.</x:v>
      </x:c>
      <x:c r="L171" s="21" t="str">
        <x:v>SRC-009: scripts/settings/equipment/weapon_templates/</x:v>
      </x:c>
      <x:c r="M171" s="21" t="str">
        <x:v>Author against the final supported weapon roster; reuse only after in-game grip and silhouette validation.</x:v>
      </x:c>
    </x:row>
    <x:row r="172" ht="46" customHeight="1">
      <x:c r="A172" s="24" t="str">
        <x:v>ANIM-168</x:v>
      </x:c>
      <x:c r="B172" s="21" t="str">
        <x:v>Weapon combat</x:v>
      </x:c>
      <x:c r="C172" s="21" t="str">
        <x:v>Two-handed melee: Light attack</x:v>
      </x:c>
      <x:c r="D172" s="21" t="str">
        <x:v>Third person</x:v>
      </x:c>
      <x:c r="E172" s="21" t="str">
        <x:v>Right-to-left</x:v>
      </x:c>
      <x:c r="F172" s="27" t="str">
        <x:v>Required</x:v>
      </x:c>
      <x:c r="G172" s="27" t="str">
        <x:v>P0</x:v>
      </x:c>
      <x:c r="H172" s="27" t="str">
        <x:v>Not Started</x:v>
      </x:c>
      <x:c r="I172" s="27" t="str">
        <x:v>Janfon</x:v>
      </x:c>
      <x:c r="J172" s="21" t="str">
        <x:v>FBX clip on canonical Pusfume rig</x:v>
      </x:c>
      <x:c r="K172" s="21" t="str">
        <x:v>Animation event resolves, weapon grip remains aligned, and blend/recovery timing matches the selected weapon template.</x:v>
      </x:c>
      <x:c r="L172" s="21" t="str">
        <x:v>SRC-009: scripts/settings/equipment/weapon_templates/</x:v>
      </x:c>
      <x:c r="M172" s="21" t="str">
        <x:v>Author against the final supported weapon roster; reuse only after in-game grip and silhouette validation.</x:v>
      </x:c>
    </x:row>
    <x:row r="173" ht="46" customHeight="1">
      <x:c r="A173" s="24" t="str">
        <x:v>ANIM-169</x:v>
      </x:c>
      <x:c r="B173" s="21" t="str">
        <x:v>Weapon combat</x:v>
      </x:c>
      <x:c r="C173" s="21" t="str">
        <x:v>Two-handed melee: Light attack</x:v>
      </x:c>
      <x:c r="D173" s="21" t="str">
        <x:v>First person</x:v>
      </x:c>
      <x:c r="E173" s="21" t="str">
        <x:v>Right-to-left</x:v>
      </x:c>
      <x:c r="F173" s="27" t="str">
        <x:v>Required</x:v>
      </x:c>
      <x:c r="G173" s="27" t="str">
        <x:v>P0</x:v>
      </x:c>
      <x:c r="H173" s="27" t="str">
        <x:v>Not Started</x:v>
      </x:c>
      <x:c r="I173" s="27" t="str">
        <x:v>Janfon</x:v>
      </x:c>
      <x:c r="J173" s="21" t="str">
        <x:v>FBX clip on canonical Pusfume rig</x:v>
      </x:c>
      <x:c r="K173" s="21" t="str">
        <x:v>Animation event resolves, weapon grip remains aligned, and blend/recovery timing matches the selected weapon template.</x:v>
      </x:c>
      <x:c r="L173" s="21" t="str">
        <x:v>SRC-009: scripts/settings/equipment/weapon_templates/</x:v>
      </x:c>
      <x:c r="M173" s="21" t="str">
        <x:v>Author against the final supported weapon roster; reuse only after in-game grip and silhouette validation.</x:v>
      </x:c>
    </x:row>
    <x:row r="174" ht="46" customHeight="1">
      <x:c r="A174" s="24" t="str">
        <x:v>ANIM-170</x:v>
      </x:c>
      <x:c r="B174" s="21" t="str">
        <x:v>Weapon combat</x:v>
      </x:c>
      <x:c r="C174" s="21" t="str">
        <x:v>Two-handed melee: Light attack</x:v>
      </x:c>
      <x:c r="D174" s="21" t="str">
        <x:v>Third person</x:v>
      </x:c>
      <x:c r="E174" s="21" t="str">
        <x:v>Overhead</x:v>
      </x:c>
      <x:c r="F174" s="27" t="str">
        <x:v>Required</x:v>
      </x:c>
      <x:c r="G174" s="27" t="str">
        <x:v>P0</x:v>
      </x:c>
      <x:c r="H174" s="27" t="str">
        <x:v>Not Started</x:v>
      </x:c>
      <x:c r="I174" s="27" t="str">
        <x:v>Janfon</x:v>
      </x:c>
      <x:c r="J174" s="21" t="str">
        <x:v>FBX clip on canonical Pusfume rig</x:v>
      </x:c>
      <x:c r="K174" s="21" t="str">
        <x:v>Animation event resolves, weapon grip remains aligned, and blend/recovery timing matches the selected weapon template.</x:v>
      </x:c>
      <x:c r="L174" s="21" t="str">
        <x:v>SRC-009: scripts/settings/equipment/weapon_templates/</x:v>
      </x:c>
      <x:c r="M174" s="21" t="str">
        <x:v>Author against the final supported weapon roster; reuse only after in-game grip and silhouette validation.</x:v>
      </x:c>
    </x:row>
    <x:row r="175" ht="46" customHeight="1">
      <x:c r="A175" s="24" t="str">
        <x:v>ANIM-171</x:v>
      </x:c>
      <x:c r="B175" s="21" t="str">
        <x:v>Weapon combat</x:v>
      </x:c>
      <x:c r="C175" s="21" t="str">
        <x:v>Two-handed melee: Light attack</x:v>
      </x:c>
      <x:c r="D175" s="21" t="str">
        <x:v>First person</x:v>
      </x:c>
      <x:c r="E175" s="21" t="str">
        <x:v>Overhead</x:v>
      </x:c>
      <x:c r="F175" s="27" t="str">
        <x:v>Required</x:v>
      </x:c>
      <x:c r="G175" s="27" t="str">
        <x:v>P0</x:v>
      </x:c>
      <x:c r="H175" s="27" t="str">
        <x:v>Not Started</x:v>
      </x:c>
      <x:c r="I175" s="27" t="str">
        <x:v>Janfon</x:v>
      </x:c>
      <x:c r="J175" s="21" t="str">
        <x:v>FBX clip on canonical Pusfume rig</x:v>
      </x:c>
      <x:c r="K175" s="21" t="str">
        <x:v>Animation event resolves, weapon grip remains aligned, and blend/recovery timing matches the selected weapon template.</x:v>
      </x:c>
      <x:c r="L175" s="21" t="str">
        <x:v>SRC-009: scripts/settings/equipment/weapon_templates/</x:v>
      </x:c>
      <x:c r="M175" s="21" t="str">
        <x:v>Author against the final supported weapon roster; reuse only after in-game grip and silhouette validation.</x:v>
      </x:c>
    </x:row>
    <x:row r="176" ht="46" customHeight="1">
      <x:c r="A176" s="24" t="str">
        <x:v>ANIM-172</x:v>
      </x:c>
      <x:c r="B176" s="21" t="str">
        <x:v>Weapon combat</x:v>
      </x:c>
      <x:c r="C176" s="21" t="str">
        <x:v>Two-handed melee: Light attack</x:v>
      </x:c>
      <x:c r="D176" s="21" t="str">
        <x:v>Third person</x:v>
      </x:c>
      <x:c r="E176" s="21" t="str">
        <x:v>Stab</x:v>
      </x:c>
      <x:c r="F176" s="27" t="str">
        <x:v>Required</x:v>
      </x:c>
      <x:c r="G176" s="27" t="str">
        <x:v>P0</x:v>
      </x:c>
      <x:c r="H176" s="27" t="str">
        <x:v>Not Started</x:v>
      </x:c>
      <x:c r="I176" s="27" t="str">
        <x:v>Janfon</x:v>
      </x:c>
      <x:c r="J176" s="21" t="str">
        <x:v>FBX clip on canonical Pusfume rig</x:v>
      </x:c>
      <x:c r="K176" s="21" t="str">
        <x:v>Animation event resolves, weapon grip remains aligned, and blend/recovery timing matches the selected weapon template.</x:v>
      </x:c>
      <x:c r="L176" s="21" t="str">
        <x:v>SRC-009: scripts/settings/equipment/weapon_templates/</x:v>
      </x:c>
      <x:c r="M176" s="21" t="str">
        <x:v>Author against the final supported weapon roster; reuse only after in-game grip and silhouette validation.</x:v>
      </x:c>
    </x:row>
    <x:row r="177" ht="46" customHeight="1">
      <x:c r="A177" s="24" t="str">
        <x:v>ANIM-173</x:v>
      </x:c>
      <x:c r="B177" s="21" t="str">
        <x:v>Weapon combat</x:v>
      </x:c>
      <x:c r="C177" s="21" t="str">
        <x:v>Two-handed melee: Light attack</x:v>
      </x:c>
      <x:c r="D177" s="21" t="str">
        <x:v>First person</x:v>
      </x:c>
      <x:c r="E177" s="21" t="str">
        <x:v>Stab</x:v>
      </x:c>
      <x:c r="F177" s="27" t="str">
        <x:v>Required</x:v>
      </x:c>
      <x:c r="G177" s="27" t="str">
        <x:v>P0</x:v>
      </x:c>
      <x:c r="H177" s="27" t="str">
        <x:v>Not Started</x:v>
      </x:c>
      <x:c r="I177" s="27" t="str">
        <x:v>Janfon</x:v>
      </x:c>
      <x:c r="J177" s="21" t="str">
        <x:v>FBX clip on canonical Pusfume rig</x:v>
      </x:c>
      <x:c r="K177" s="21" t="str">
        <x:v>Animation event resolves, weapon grip remains aligned, and blend/recovery timing matches the selected weapon template.</x:v>
      </x:c>
      <x:c r="L177" s="21" t="str">
        <x:v>SRC-009: scripts/settings/equipment/weapon_templates/</x:v>
      </x:c>
      <x:c r="M177" s="21" t="str">
        <x:v>Author against the final supported weapon roster; reuse only after in-game grip and silhouette validation.</x:v>
      </x:c>
    </x:row>
    <x:row r="178" ht="46" customHeight="1">
      <x:c r="A178" s="24" t="str">
        <x:v>ANIM-174</x:v>
      </x:c>
      <x:c r="B178" s="21" t="str">
        <x:v>Weapon combat</x:v>
      </x:c>
      <x:c r="C178" s="21" t="str">
        <x:v>Two-handed melee: Heavy charge pose</x:v>
      </x:c>
      <x:c r="D178" s="21" t="str">
        <x:v>Third person</x:v>
      </x:c>
      <x:c r="E178" s="21" t="str">
        <x:v>Left</x:v>
      </x:c>
      <x:c r="F178" s="27" t="str">
        <x:v>Required</x:v>
      </x:c>
      <x:c r="G178" s="27" t="str">
        <x:v>P1</x:v>
      </x:c>
      <x:c r="H178" s="27" t="str">
        <x:v>Not Started</x:v>
      </x:c>
      <x:c r="I178" s="27" t="str">
        <x:v>Janfon</x:v>
      </x:c>
      <x:c r="J178" s="21" t="str">
        <x:v>FBX clip on canonical Pusfume rig</x:v>
      </x:c>
      <x:c r="K178" s="21" t="str">
        <x:v>Animation event resolves, weapon grip remains aligned, and blend/recovery timing matches the selected weapon template.</x:v>
      </x:c>
      <x:c r="L178" s="21" t="str">
        <x:v>SRC-009: scripts/settings/equipment/weapon_templates/</x:v>
      </x:c>
      <x:c r="M178" s="21" t="str">
        <x:v>Author against the final supported weapon roster; reuse only after in-game grip and silhouette validation.</x:v>
      </x:c>
    </x:row>
    <x:row r="179" ht="46" customHeight="1">
      <x:c r="A179" s="24" t="str">
        <x:v>ANIM-175</x:v>
      </x:c>
      <x:c r="B179" s="21" t="str">
        <x:v>Weapon combat</x:v>
      </x:c>
      <x:c r="C179" s="21" t="str">
        <x:v>Two-handed melee: Heavy charge pose</x:v>
      </x:c>
      <x:c r="D179" s="21" t="str">
        <x:v>First person</x:v>
      </x:c>
      <x:c r="E179" s="21" t="str">
        <x:v>Left</x:v>
      </x:c>
      <x:c r="F179" s="27" t="str">
        <x:v>Required</x:v>
      </x:c>
      <x:c r="G179" s="27" t="str">
        <x:v>P1</x:v>
      </x:c>
      <x:c r="H179" s="27" t="str">
        <x:v>Not Started</x:v>
      </x:c>
      <x:c r="I179" s="27" t="str">
        <x:v>Janfon</x:v>
      </x:c>
      <x:c r="J179" s="21" t="str">
        <x:v>FBX clip on canonical Pusfume rig</x:v>
      </x:c>
      <x:c r="K179" s="21" t="str">
        <x:v>Animation event resolves, weapon grip remains aligned, and blend/recovery timing matches the selected weapon template.</x:v>
      </x:c>
      <x:c r="L179" s="21" t="str">
        <x:v>SRC-009: scripts/settings/equipment/weapon_templates/</x:v>
      </x:c>
      <x:c r="M179" s="21" t="str">
        <x:v>Author against the final supported weapon roster; reuse only after in-game grip and silhouette validation.</x:v>
      </x:c>
    </x:row>
    <x:row r="180" ht="46" customHeight="1">
      <x:c r="A180" s="24" t="str">
        <x:v>ANIM-176</x:v>
      </x:c>
      <x:c r="B180" s="21" t="str">
        <x:v>Weapon combat</x:v>
      </x:c>
      <x:c r="C180" s="21" t="str">
        <x:v>Two-handed melee: Heavy charge pose</x:v>
      </x:c>
      <x:c r="D180" s="21" t="str">
        <x:v>Third person</x:v>
      </x:c>
      <x:c r="E180" s="21" t="str">
        <x:v>Right</x:v>
      </x:c>
      <x:c r="F180" s="27" t="str">
        <x:v>Required</x:v>
      </x:c>
      <x:c r="G180" s="27" t="str">
        <x:v>P1</x:v>
      </x:c>
      <x:c r="H180" s="27" t="str">
        <x:v>Not Started</x:v>
      </x:c>
      <x:c r="I180" s="27" t="str">
        <x:v>Janfon</x:v>
      </x:c>
      <x:c r="J180" s="21" t="str">
        <x:v>FBX clip on canonical Pusfume rig</x:v>
      </x:c>
      <x:c r="K180" s="21" t="str">
        <x:v>Animation event resolves, weapon grip remains aligned, and blend/recovery timing matches the selected weapon template.</x:v>
      </x:c>
      <x:c r="L180" s="21" t="str">
        <x:v>SRC-009: scripts/settings/equipment/weapon_templates/</x:v>
      </x:c>
      <x:c r="M180" s="21" t="str">
        <x:v>Author against the final supported weapon roster; reuse only after in-game grip and silhouette validation.</x:v>
      </x:c>
    </x:row>
    <x:row r="181" ht="46" customHeight="1">
      <x:c r="A181" s="24" t="str">
        <x:v>ANIM-177</x:v>
      </x:c>
      <x:c r="B181" s="21" t="str">
        <x:v>Weapon combat</x:v>
      </x:c>
      <x:c r="C181" s="21" t="str">
        <x:v>Two-handed melee: Heavy charge pose</x:v>
      </x:c>
      <x:c r="D181" s="21" t="str">
        <x:v>First person</x:v>
      </x:c>
      <x:c r="E181" s="21" t="str">
        <x:v>Right</x:v>
      </x:c>
      <x:c r="F181" s="27" t="str">
        <x:v>Required</x:v>
      </x:c>
      <x:c r="G181" s="27" t="str">
        <x:v>P1</x:v>
      </x:c>
      <x:c r="H181" s="27" t="str">
        <x:v>Not Started</x:v>
      </x:c>
      <x:c r="I181" s="27" t="str">
        <x:v>Janfon</x:v>
      </x:c>
      <x:c r="J181" s="21" t="str">
        <x:v>FBX clip on canonical Pusfume rig</x:v>
      </x:c>
      <x:c r="K181" s="21" t="str">
        <x:v>Animation event resolves, weapon grip remains aligned, and blend/recovery timing matches the selected weapon template.</x:v>
      </x:c>
      <x:c r="L181" s="21" t="str">
        <x:v>SRC-009: scripts/settings/equipment/weapon_templates/</x:v>
      </x:c>
      <x:c r="M181" s="21" t="str">
        <x:v>Author against the final supported weapon roster; reuse only after in-game grip and silhouette validation.</x:v>
      </x:c>
    </x:row>
    <x:row r="182" ht="46" customHeight="1">
      <x:c r="A182" s="24" t="str">
        <x:v>ANIM-178</x:v>
      </x:c>
      <x:c r="B182" s="21" t="str">
        <x:v>Weapon combat</x:v>
      </x:c>
      <x:c r="C182" s="21" t="str">
        <x:v>Two-handed melee: Heavy attack</x:v>
      </x:c>
      <x:c r="D182" s="21" t="str">
        <x:v>Third person</x:v>
      </x:c>
      <x:c r="E182" s="21" t="str">
        <x:v>Diagonal</x:v>
      </x:c>
      <x:c r="F182" s="27" t="str">
        <x:v>Required</x:v>
      </x:c>
      <x:c r="G182" s="27" t="str">
        <x:v>P0</x:v>
      </x:c>
      <x:c r="H182" s="27" t="str">
        <x:v>Not Started</x:v>
      </x:c>
      <x:c r="I182" s="27" t="str">
        <x:v>Janfon</x:v>
      </x:c>
      <x:c r="J182" s="21" t="str">
        <x:v>FBX clip on canonical Pusfume rig</x:v>
      </x:c>
      <x:c r="K182" s="21" t="str">
        <x:v>Animation event resolves, weapon grip remains aligned, and blend/recovery timing matches the selected weapon template.</x:v>
      </x:c>
      <x:c r="L182" s="21" t="str">
        <x:v>SRC-009: scripts/settings/equipment/weapon_templates/</x:v>
      </x:c>
      <x:c r="M182" s="21" t="str">
        <x:v>Author against the final supported weapon roster; reuse only after in-game grip and silhouette validation.</x:v>
      </x:c>
    </x:row>
    <x:row r="183" ht="46" customHeight="1">
      <x:c r="A183" s="24" t="str">
        <x:v>ANIM-179</x:v>
      </x:c>
      <x:c r="B183" s="21" t="str">
        <x:v>Weapon combat</x:v>
      </x:c>
      <x:c r="C183" s="21" t="str">
        <x:v>Two-handed melee: Heavy attack</x:v>
      </x:c>
      <x:c r="D183" s="21" t="str">
        <x:v>First person</x:v>
      </x:c>
      <x:c r="E183" s="21" t="str">
        <x:v>Diagonal</x:v>
      </x:c>
      <x:c r="F183" s="27" t="str">
        <x:v>Required</x:v>
      </x:c>
      <x:c r="G183" s="27" t="str">
        <x:v>P0</x:v>
      </x:c>
      <x:c r="H183" s="27" t="str">
        <x:v>Not Started</x:v>
      </x:c>
      <x:c r="I183" s="27" t="str">
        <x:v>Janfon</x:v>
      </x:c>
      <x:c r="J183" s="21" t="str">
        <x:v>FBX clip on canonical Pusfume rig</x:v>
      </x:c>
      <x:c r="K183" s="21" t="str">
        <x:v>Animation event resolves, weapon grip remains aligned, and blend/recovery timing matches the selected weapon template.</x:v>
      </x:c>
      <x:c r="L183" s="21" t="str">
        <x:v>SRC-009: scripts/settings/equipment/weapon_templates/</x:v>
      </x:c>
      <x:c r="M183" s="21" t="str">
        <x:v>Author against the final supported weapon roster; reuse only after in-game grip and silhouette validation.</x:v>
      </x:c>
    </x:row>
    <x:row r="184" ht="46" customHeight="1">
      <x:c r="A184" s="24" t="str">
        <x:v>ANIM-180</x:v>
      </x:c>
      <x:c r="B184" s="21" t="str">
        <x:v>Weapon combat</x:v>
      </x:c>
      <x:c r="C184" s="21" t="str">
        <x:v>Two-handed melee: Heavy attack</x:v>
      </x:c>
      <x:c r="D184" s="21" t="str">
        <x:v>Third person</x:v>
      </x:c>
      <x:c r="E184" s="21" t="str">
        <x:v>Overhead</x:v>
      </x:c>
      <x:c r="F184" s="27" t="str">
        <x:v>Required</x:v>
      </x:c>
      <x:c r="G184" s="27" t="str">
        <x:v>P0</x:v>
      </x:c>
      <x:c r="H184" s="27" t="str">
        <x:v>Not Started</x:v>
      </x:c>
      <x:c r="I184" s="27" t="str">
        <x:v>Janfon</x:v>
      </x:c>
      <x:c r="J184" s="21" t="str">
        <x:v>FBX clip on canonical Pusfume rig</x:v>
      </x:c>
      <x:c r="K184" s="21" t="str">
        <x:v>Animation event resolves, weapon grip remains aligned, and blend/recovery timing matches the selected weapon template.</x:v>
      </x:c>
      <x:c r="L184" s="21" t="str">
        <x:v>SRC-009: scripts/settings/equipment/weapon_templates/</x:v>
      </x:c>
      <x:c r="M184" s="21" t="str">
        <x:v>Author against the final supported weapon roster; reuse only after in-game grip and silhouette validation.</x:v>
      </x:c>
    </x:row>
    <x:row r="185" ht="46" customHeight="1">
      <x:c r="A185" s="24" t="str">
        <x:v>ANIM-181</x:v>
      </x:c>
      <x:c r="B185" s="21" t="str">
        <x:v>Weapon combat</x:v>
      </x:c>
      <x:c r="C185" s="21" t="str">
        <x:v>Two-handed melee: Heavy attack</x:v>
      </x:c>
      <x:c r="D185" s="21" t="str">
        <x:v>First person</x:v>
      </x:c>
      <x:c r="E185" s="21" t="str">
        <x:v>Overhead</x:v>
      </x:c>
      <x:c r="F185" s="27" t="str">
        <x:v>Required</x:v>
      </x:c>
      <x:c r="G185" s="27" t="str">
        <x:v>P0</x:v>
      </x:c>
      <x:c r="H185" s="27" t="str">
        <x:v>Not Started</x:v>
      </x:c>
      <x:c r="I185" s="27" t="str">
        <x:v>Janfon</x:v>
      </x:c>
      <x:c r="J185" s="21" t="str">
        <x:v>FBX clip on canonical Pusfume rig</x:v>
      </x:c>
      <x:c r="K185" s="21" t="str">
        <x:v>Animation event resolves, weapon grip remains aligned, and blend/recovery timing matches the selected weapon template.</x:v>
      </x:c>
      <x:c r="L185" s="21" t="str">
        <x:v>SRC-009: scripts/settings/equipment/weapon_templates/</x:v>
      </x:c>
      <x:c r="M185" s="21" t="str">
        <x:v>Author against the final supported weapon roster; reuse only after in-game grip and silhouette validation.</x:v>
      </x:c>
    </x:row>
    <x:row r="186" ht="46" customHeight="1">
      <x:c r="A186" s="24" t="str">
        <x:v>ANIM-182</x:v>
      </x:c>
      <x:c r="B186" s="21" t="str">
        <x:v>Weapon combat</x:v>
      </x:c>
      <x:c r="C186" s="21" t="str">
        <x:v>Two-handed melee: Heavy attack</x:v>
      </x:c>
      <x:c r="D186" s="21" t="str">
        <x:v>Third person</x:v>
      </x:c>
      <x:c r="E186" s="21" t="str">
        <x:v>Stab</x:v>
      </x:c>
      <x:c r="F186" s="27" t="str">
        <x:v>Required</x:v>
      </x:c>
      <x:c r="G186" s="27" t="str">
        <x:v>P0</x:v>
      </x:c>
      <x:c r="H186" s="27" t="str">
        <x:v>Not Started</x:v>
      </x:c>
      <x:c r="I186" s="27" t="str">
        <x:v>Janfon</x:v>
      </x:c>
      <x:c r="J186" s="21" t="str">
        <x:v>FBX clip on canonical Pusfume rig</x:v>
      </x:c>
      <x:c r="K186" s="21" t="str">
        <x:v>Animation event resolves, weapon grip remains aligned, and blend/recovery timing matches the selected weapon template.</x:v>
      </x:c>
      <x:c r="L186" s="21" t="str">
        <x:v>SRC-009: scripts/settings/equipment/weapon_templates/</x:v>
      </x:c>
      <x:c r="M186" s="21" t="str">
        <x:v>Author against the final supported weapon roster; reuse only after in-game grip and silhouette validation.</x:v>
      </x:c>
    </x:row>
    <x:row r="187" ht="46" customHeight="1">
      <x:c r="A187" s="24" t="str">
        <x:v>ANIM-183</x:v>
      </x:c>
      <x:c r="B187" s="21" t="str">
        <x:v>Weapon combat</x:v>
      </x:c>
      <x:c r="C187" s="21" t="str">
        <x:v>Two-handed melee: Heavy attack</x:v>
      </x:c>
      <x:c r="D187" s="21" t="str">
        <x:v>First person</x:v>
      </x:c>
      <x:c r="E187" s="21" t="str">
        <x:v>Stab</x:v>
      </x:c>
      <x:c r="F187" s="27" t="str">
        <x:v>Required</x:v>
      </x:c>
      <x:c r="G187" s="27" t="str">
        <x:v>P0</x:v>
      </x:c>
      <x:c r="H187" s="27" t="str">
        <x:v>Not Started</x:v>
      </x:c>
      <x:c r="I187" s="27" t="str">
        <x:v>Janfon</x:v>
      </x:c>
      <x:c r="J187" s="21" t="str">
        <x:v>FBX clip on canonical Pusfume rig</x:v>
      </x:c>
      <x:c r="K187" s="21" t="str">
        <x:v>Animation event resolves, weapon grip remains aligned, and blend/recovery timing matches the selected weapon template.</x:v>
      </x:c>
      <x:c r="L187" s="21" t="str">
        <x:v>SRC-009: scripts/settings/equipment/weapon_templates/</x:v>
      </x:c>
      <x:c r="M187" s="21" t="str">
        <x:v>Author against the final supported weapon roster; reuse only after in-game grip and silhouette validation.</x:v>
      </x:c>
    </x:row>
    <x:row r="188" ht="46" customHeight="1">
      <x:c r="A188" s="24" t="str">
        <x:v>ANIM-184</x:v>
      </x:c>
      <x:c r="B188" s="21" t="str">
        <x:v>Weapon combat</x:v>
      </x:c>
      <x:c r="C188" s="21" t="str">
        <x:v>Two-handed melee: Block enter</x:v>
      </x:c>
      <x:c r="D188" s="21" t="str">
        <x:v>Third person</x:v>
      </x:c>
      <x:c r="E188" s="21" t="str">
        <x:v>Default</x:v>
      </x:c>
      <x:c r="F188" s="27" t="str">
        <x:v>Required</x:v>
      </x:c>
      <x:c r="G188" s="27" t="str">
        <x:v>P1</x:v>
      </x:c>
      <x:c r="H188" s="27" t="str">
        <x:v>Not Started</x:v>
      </x:c>
      <x:c r="I188" s="27" t="str">
        <x:v>Janfon</x:v>
      </x:c>
      <x:c r="J188" s="21" t="str">
        <x:v>FBX clip on canonical Pusfume rig</x:v>
      </x:c>
      <x:c r="K188" s="21" t="str">
        <x:v>Animation event resolves, weapon grip remains aligned, and blend/recovery timing matches the selected weapon template.</x:v>
      </x:c>
      <x:c r="L188" s="21" t="str">
        <x:v>SRC-009: scripts/settings/equipment/weapon_templates/</x:v>
      </x:c>
      <x:c r="M188" s="21" t="str">
        <x:v>Author against the final supported weapon roster; reuse only after in-game grip and silhouette validation.</x:v>
      </x:c>
    </x:row>
    <x:row r="189" ht="46" customHeight="1">
      <x:c r="A189" s="24" t="str">
        <x:v>ANIM-185</x:v>
      </x:c>
      <x:c r="B189" s="21" t="str">
        <x:v>Weapon combat</x:v>
      </x:c>
      <x:c r="C189" s="21" t="str">
        <x:v>Two-handed melee: Block enter</x:v>
      </x:c>
      <x:c r="D189" s="21" t="str">
        <x:v>First person</x:v>
      </x:c>
      <x:c r="E189" s="21" t="str">
        <x:v>Default</x:v>
      </x:c>
      <x:c r="F189" s="27" t="str">
        <x:v>Required</x:v>
      </x:c>
      <x:c r="G189" s="27" t="str">
        <x:v>P1</x:v>
      </x:c>
      <x:c r="H189" s="27" t="str">
        <x:v>Not Started</x:v>
      </x:c>
      <x:c r="I189" s="27" t="str">
        <x:v>Janfon</x:v>
      </x:c>
      <x:c r="J189" s="21" t="str">
        <x:v>FBX clip on canonical Pusfume rig</x:v>
      </x:c>
      <x:c r="K189" s="21" t="str">
        <x:v>Animation event resolves, weapon grip remains aligned, and blend/recovery timing matches the selected weapon template.</x:v>
      </x:c>
      <x:c r="L189" s="21" t="str">
        <x:v>SRC-009: scripts/settings/equipment/weapon_templates/</x:v>
      </x:c>
      <x:c r="M189" s="21" t="str">
        <x:v>Author against the final supported weapon roster; reuse only after in-game grip and silhouette validation.</x:v>
      </x:c>
    </x:row>
    <x:row r="190" ht="46" customHeight="1">
      <x:c r="A190" s="24" t="str">
        <x:v>ANIM-186</x:v>
      </x:c>
      <x:c r="B190" s="21" t="str">
        <x:v>Weapon combat</x:v>
      </x:c>
      <x:c r="C190" s="21" t="str">
        <x:v>Two-handed melee: Block idle</x:v>
      </x:c>
      <x:c r="D190" s="21" t="str">
        <x:v>Third person</x:v>
      </x:c>
      <x:c r="E190" s="21" t="str">
        <x:v>Default</x:v>
      </x:c>
      <x:c r="F190" s="27" t="str">
        <x:v>Required</x:v>
      </x:c>
      <x:c r="G190" s="27" t="str">
        <x:v>P0</x:v>
      </x:c>
      <x:c r="H190" s="27" t="str">
        <x:v>Not Started</x:v>
      </x:c>
      <x:c r="I190" s="27" t="str">
        <x:v>Janfon</x:v>
      </x:c>
      <x:c r="J190" s="21" t="str">
        <x:v>FBX clip on canonical Pusfume rig</x:v>
      </x:c>
      <x:c r="K190" s="21" t="str">
        <x:v>Animation event resolves, weapon grip remains aligned, and blend/recovery timing matches the selected weapon template.</x:v>
      </x:c>
      <x:c r="L190" s="21" t="str">
        <x:v>SRC-009: scripts/settings/equipment/weapon_templates/</x:v>
      </x:c>
      <x:c r="M190" s="21" t="str">
        <x:v>Author against the final supported weapon roster; reuse only after in-game grip and silhouette validation.</x:v>
      </x:c>
    </x:row>
    <x:row r="191" ht="46" customHeight="1">
      <x:c r="A191" s="24" t="str">
        <x:v>ANIM-187</x:v>
      </x:c>
      <x:c r="B191" s="21" t="str">
        <x:v>Weapon combat</x:v>
      </x:c>
      <x:c r="C191" s="21" t="str">
        <x:v>Two-handed melee: Block idle</x:v>
      </x:c>
      <x:c r="D191" s="21" t="str">
        <x:v>First person</x:v>
      </x:c>
      <x:c r="E191" s="21" t="str">
        <x:v>Default</x:v>
      </x:c>
      <x:c r="F191" s="27" t="str">
        <x:v>Required</x:v>
      </x:c>
      <x:c r="G191" s="27" t="str">
        <x:v>P0</x:v>
      </x:c>
      <x:c r="H191" s="27" t="str">
        <x:v>Not Started</x:v>
      </x:c>
      <x:c r="I191" s="27" t="str">
        <x:v>Janfon</x:v>
      </x:c>
      <x:c r="J191" s="21" t="str">
        <x:v>FBX clip on canonical Pusfume rig</x:v>
      </x:c>
      <x:c r="K191" s="21" t="str">
        <x:v>Animation event resolves, weapon grip remains aligned, and blend/recovery timing matches the selected weapon template.</x:v>
      </x:c>
      <x:c r="L191" s="21" t="str">
        <x:v>SRC-009: scripts/settings/equipment/weapon_templates/</x:v>
      </x:c>
      <x:c r="M191" s="21" t="str">
        <x:v>Author against the final supported weapon roster; reuse only after in-game grip and silhouette validation.</x:v>
      </x:c>
    </x:row>
    <x:row r="192" ht="46" customHeight="1">
      <x:c r="A192" s="24" t="str">
        <x:v>ANIM-188</x:v>
      </x:c>
      <x:c r="B192" s="21" t="str">
        <x:v>Weapon combat</x:v>
      </x:c>
      <x:c r="C192" s="21" t="str">
        <x:v>Two-handed melee: Block hit reaction</x:v>
      </x:c>
      <x:c r="D192" s="21" t="str">
        <x:v>Third person</x:v>
      </x:c>
      <x:c r="E192" s="21" t="str">
        <x:v>Light</x:v>
      </x:c>
      <x:c r="F192" s="27" t="str">
        <x:v>Required</x:v>
      </x:c>
      <x:c r="G192" s="27" t="str">
        <x:v>P1</x:v>
      </x:c>
      <x:c r="H192" s="27" t="str">
        <x:v>Not Started</x:v>
      </x:c>
      <x:c r="I192" s="27" t="str">
        <x:v>Janfon</x:v>
      </x:c>
      <x:c r="J192" s="21" t="str">
        <x:v>FBX clip on canonical Pusfume rig</x:v>
      </x:c>
      <x:c r="K192" s="21" t="str">
        <x:v>Animation event resolves, weapon grip remains aligned, and blend/recovery timing matches the selected weapon template.</x:v>
      </x:c>
      <x:c r="L192" s="21" t="str">
        <x:v>SRC-009: scripts/settings/equipment/weapon_templates/</x:v>
      </x:c>
      <x:c r="M192" s="21" t="str">
        <x:v>Author against the final supported weapon roster; reuse only after in-game grip and silhouette validation.</x:v>
      </x:c>
    </x:row>
    <x:row r="193" ht="46" customHeight="1">
      <x:c r="A193" s="24" t="str">
        <x:v>ANIM-189</x:v>
      </x:c>
      <x:c r="B193" s="21" t="str">
        <x:v>Weapon combat</x:v>
      </x:c>
      <x:c r="C193" s="21" t="str">
        <x:v>Two-handed melee: Block hit reaction</x:v>
      </x:c>
      <x:c r="D193" s="21" t="str">
        <x:v>First person</x:v>
      </x:c>
      <x:c r="E193" s="21" t="str">
        <x:v>Light</x:v>
      </x:c>
      <x:c r="F193" s="27" t="str">
        <x:v>Required</x:v>
      </x:c>
      <x:c r="G193" s="27" t="str">
        <x:v>P1</x:v>
      </x:c>
      <x:c r="H193" s="27" t="str">
        <x:v>Not Started</x:v>
      </x:c>
      <x:c r="I193" s="27" t="str">
        <x:v>Janfon</x:v>
      </x:c>
      <x:c r="J193" s="21" t="str">
        <x:v>FBX clip on canonical Pusfume rig</x:v>
      </x:c>
      <x:c r="K193" s="21" t="str">
        <x:v>Animation event resolves, weapon grip remains aligned, and blend/recovery timing matches the selected weapon template.</x:v>
      </x:c>
      <x:c r="L193" s="21" t="str">
        <x:v>SRC-009: scripts/settings/equipment/weapon_templates/</x:v>
      </x:c>
      <x:c r="M193" s="21" t="str">
        <x:v>Author against the final supported weapon roster; reuse only after in-game grip and silhouette validation.</x:v>
      </x:c>
    </x:row>
    <x:row r="194" ht="46" customHeight="1">
      <x:c r="A194" s="24" t="str">
        <x:v>ANIM-190</x:v>
      </x:c>
      <x:c r="B194" s="21" t="str">
        <x:v>Weapon combat</x:v>
      </x:c>
      <x:c r="C194" s="21" t="str">
        <x:v>Two-handed melee: Block hit reaction</x:v>
      </x:c>
      <x:c r="D194" s="21" t="str">
        <x:v>Third person</x:v>
      </x:c>
      <x:c r="E194" s="21" t="str">
        <x:v>Heavy</x:v>
      </x:c>
      <x:c r="F194" s="27" t="str">
        <x:v>Required</x:v>
      </x:c>
      <x:c r="G194" s="27" t="str">
        <x:v>P1</x:v>
      </x:c>
      <x:c r="H194" s="27" t="str">
        <x:v>Not Started</x:v>
      </x:c>
      <x:c r="I194" s="27" t="str">
        <x:v>Janfon</x:v>
      </x:c>
      <x:c r="J194" s="21" t="str">
        <x:v>FBX clip on canonical Pusfume rig</x:v>
      </x:c>
      <x:c r="K194" s="21" t="str">
        <x:v>Animation event resolves, weapon grip remains aligned, and blend/recovery timing matches the selected weapon template.</x:v>
      </x:c>
      <x:c r="L194" s="21" t="str">
        <x:v>SRC-009: scripts/settings/equipment/weapon_templates/</x:v>
      </x:c>
      <x:c r="M194" s="21" t="str">
        <x:v>Author against the final supported weapon roster; reuse only after in-game grip and silhouette validation.</x:v>
      </x:c>
    </x:row>
    <x:row r="195" ht="46" customHeight="1">
      <x:c r="A195" s="24" t="str">
        <x:v>ANIM-191</x:v>
      </x:c>
      <x:c r="B195" s="21" t="str">
        <x:v>Weapon combat</x:v>
      </x:c>
      <x:c r="C195" s="21" t="str">
        <x:v>Two-handed melee: Block hit reaction</x:v>
      </x:c>
      <x:c r="D195" s="21" t="str">
        <x:v>First person</x:v>
      </x:c>
      <x:c r="E195" s="21" t="str">
        <x:v>Heavy</x:v>
      </x:c>
      <x:c r="F195" s="27" t="str">
        <x:v>Required</x:v>
      </x:c>
      <x:c r="G195" s="27" t="str">
        <x:v>P1</x:v>
      </x:c>
      <x:c r="H195" s="27" t="str">
        <x:v>Not Started</x:v>
      </x:c>
      <x:c r="I195" s="27" t="str">
        <x:v>Janfon</x:v>
      </x:c>
      <x:c r="J195" s="21" t="str">
        <x:v>FBX clip on canonical Pusfume rig</x:v>
      </x:c>
      <x:c r="K195" s="21" t="str">
        <x:v>Animation event resolves, weapon grip remains aligned, and blend/recovery timing matches the selected weapon template.</x:v>
      </x:c>
      <x:c r="L195" s="21" t="str">
        <x:v>SRC-009: scripts/settings/equipment/weapon_templates/</x:v>
      </x:c>
      <x:c r="M195" s="21" t="str">
        <x:v>Author against the final supported weapon roster; reuse only after in-game grip and silhouette validation.</x:v>
      </x:c>
    </x:row>
    <x:row r="196" ht="46" customHeight="1">
      <x:c r="A196" s="24" t="str">
        <x:v>ANIM-192</x:v>
      </x:c>
      <x:c r="B196" s="21" t="str">
        <x:v>Weapon combat</x:v>
      </x:c>
      <x:c r="C196" s="21" t="str">
        <x:v>Two-handed melee: Push</x:v>
      </x:c>
      <x:c r="D196" s="21" t="str">
        <x:v>Third person</x:v>
      </x:c>
      <x:c r="E196" s="21" t="str">
        <x:v>Default</x:v>
      </x:c>
      <x:c r="F196" s="27" t="str">
        <x:v>Required</x:v>
      </x:c>
      <x:c r="G196" s="27" t="str">
        <x:v>P1</x:v>
      </x:c>
      <x:c r="H196" s="27" t="str">
        <x:v>Not Started</x:v>
      </x:c>
      <x:c r="I196" s="27" t="str">
        <x:v>Janfon</x:v>
      </x:c>
      <x:c r="J196" s="21" t="str">
        <x:v>FBX clip on canonical Pusfume rig</x:v>
      </x:c>
      <x:c r="K196" s="21" t="str">
        <x:v>Animation event resolves, weapon grip remains aligned, and blend/recovery timing matches the selected weapon template.</x:v>
      </x:c>
      <x:c r="L196" s="21" t="str">
        <x:v>SRC-009: scripts/settings/equipment/weapon_templates/</x:v>
      </x:c>
      <x:c r="M196" s="21" t="str">
        <x:v>Author against the final supported weapon roster; reuse only after in-game grip and silhouette validation.</x:v>
      </x:c>
    </x:row>
    <x:row r="197" ht="46" customHeight="1">
      <x:c r="A197" s="24" t="str">
        <x:v>ANIM-193</x:v>
      </x:c>
      <x:c r="B197" s="21" t="str">
        <x:v>Weapon combat</x:v>
      </x:c>
      <x:c r="C197" s="21" t="str">
        <x:v>Two-handed melee: Push</x:v>
      </x:c>
      <x:c r="D197" s="21" t="str">
        <x:v>First person</x:v>
      </x:c>
      <x:c r="E197" s="21" t="str">
        <x:v>Default</x:v>
      </x:c>
      <x:c r="F197" s="27" t="str">
        <x:v>Required</x:v>
      </x:c>
      <x:c r="G197" s="27" t="str">
        <x:v>P1</x:v>
      </x:c>
      <x:c r="H197" s="27" t="str">
        <x:v>Not Started</x:v>
      </x:c>
      <x:c r="I197" s="27" t="str">
        <x:v>Janfon</x:v>
      </x:c>
      <x:c r="J197" s="21" t="str">
        <x:v>FBX clip on canonical Pusfume rig</x:v>
      </x:c>
      <x:c r="K197" s="21" t="str">
        <x:v>Animation event resolves, weapon grip remains aligned, and blend/recovery timing matches the selected weapon template.</x:v>
      </x:c>
      <x:c r="L197" s="21" t="str">
        <x:v>SRC-009: scripts/settings/equipment/weapon_templates/</x:v>
      </x:c>
      <x:c r="M197" s="21" t="str">
        <x:v>Author against the final supported weapon roster; reuse only after in-game grip and silhouette validation.</x:v>
      </x:c>
    </x:row>
    <x:row r="198" ht="46" customHeight="1">
      <x:c r="A198" s="24" t="str">
        <x:v>ANIM-194</x:v>
      </x:c>
      <x:c r="B198" s="21" t="str">
        <x:v>Weapon combat</x:v>
      </x:c>
      <x:c r="C198" s="21" t="str">
        <x:v>Two-handed melee: Push-follow-up</x:v>
      </x:c>
      <x:c r="D198" s="21" t="str">
        <x:v>Third person</x:v>
      </x:c>
      <x:c r="E198" s="21" t="str">
        <x:v>Default</x:v>
      </x:c>
      <x:c r="F198" s="27" t="str">
        <x:v>Required</x:v>
      </x:c>
      <x:c r="G198" s="27" t="str">
        <x:v>P1</x:v>
      </x:c>
      <x:c r="H198" s="27" t="str">
        <x:v>Not Started</x:v>
      </x:c>
      <x:c r="I198" s="27" t="str">
        <x:v>Janfon</x:v>
      </x:c>
      <x:c r="J198" s="21" t="str">
        <x:v>FBX clip on canonical Pusfume rig</x:v>
      </x:c>
      <x:c r="K198" s="21" t="str">
        <x:v>Animation event resolves, weapon grip remains aligned, and blend/recovery timing matches the selected weapon template.</x:v>
      </x:c>
      <x:c r="L198" s="21" t="str">
        <x:v>SRC-009: scripts/settings/equipment/weapon_templates/</x:v>
      </x:c>
      <x:c r="M198" s="21" t="str">
        <x:v>Author against the final supported weapon roster; reuse only after in-game grip and silhouette validation.</x:v>
      </x:c>
    </x:row>
    <x:row r="199" ht="46" customHeight="1">
      <x:c r="A199" s="24" t="str">
        <x:v>ANIM-195</x:v>
      </x:c>
      <x:c r="B199" s="21" t="str">
        <x:v>Weapon combat</x:v>
      </x:c>
      <x:c r="C199" s="21" t="str">
        <x:v>Two-handed melee: Push-follow-up</x:v>
      </x:c>
      <x:c r="D199" s="21" t="str">
        <x:v>First person</x:v>
      </x:c>
      <x:c r="E199" s="21" t="str">
        <x:v>Default</x:v>
      </x:c>
      <x:c r="F199" s="27" t="str">
        <x:v>Required</x:v>
      </x:c>
      <x:c r="G199" s="27" t="str">
        <x:v>P1</x:v>
      </x:c>
      <x:c r="H199" s="27" t="str">
        <x:v>Not Started</x:v>
      </x:c>
      <x:c r="I199" s="27" t="str">
        <x:v>Janfon</x:v>
      </x:c>
      <x:c r="J199" s="21" t="str">
        <x:v>FBX clip on canonical Pusfume rig</x:v>
      </x:c>
      <x:c r="K199" s="21" t="str">
        <x:v>Animation event resolves, weapon grip remains aligned, and blend/recovery timing matches the selected weapon template.</x:v>
      </x:c>
      <x:c r="L199" s="21" t="str">
        <x:v>SRC-009: scripts/settings/equipment/weapon_templates/</x:v>
      </x:c>
      <x:c r="M199" s="21" t="str">
        <x:v>Author against the final supported weapon roster; reuse only after in-game grip and silhouette validation.</x:v>
      </x:c>
    </x:row>
    <x:row r="200" ht="46" customHeight="1">
      <x:c r="A200" s="24" t="str">
        <x:v>ANIM-196</x:v>
      </x:c>
      <x:c r="B200" s="21" t="str">
        <x:v>Weapon combat</x:v>
      </x:c>
      <x:c r="C200" s="21" t="str">
        <x:v>Two-handed melee: Parry</x:v>
      </x:c>
      <x:c r="D200" s="21" t="str">
        <x:v>Third person</x:v>
      </x:c>
      <x:c r="E200" s="21" t="str">
        <x:v>Default</x:v>
      </x:c>
      <x:c r="F200" s="27" t="str">
        <x:v>Required</x:v>
      </x:c>
      <x:c r="G200" s="27" t="str">
        <x:v>P1</x:v>
      </x:c>
      <x:c r="H200" s="27" t="str">
        <x:v>Not Started</x:v>
      </x:c>
      <x:c r="I200" s="27" t="str">
        <x:v>Janfon</x:v>
      </x:c>
      <x:c r="J200" s="21" t="str">
        <x:v>FBX clip on canonical Pusfume rig</x:v>
      </x:c>
      <x:c r="K200" s="21" t="str">
        <x:v>Animation event resolves, weapon grip remains aligned, and blend/recovery timing matches the selected weapon template.</x:v>
      </x:c>
      <x:c r="L200" s="21" t="str">
        <x:v>SRC-009: scripts/settings/equipment/weapon_templates/</x:v>
      </x:c>
      <x:c r="M200" s="21" t="str">
        <x:v>Author against the final supported weapon roster; reuse only after in-game grip and silhouette validation.</x:v>
      </x:c>
    </x:row>
    <x:row r="201" ht="46" customHeight="1">
      <x:c r="A201" s="24" t="str">
        <x:v>ANIM-197</x:v>
      </x:c>
      <x:c r="B201" s="21" t="str">
        <x:v>Weapon combat</x:v>
      </x:c>
      <x:c r="C201" s="21" t="str">
        <x:v>Two-handed melee: Parry</x:v>
      </x:c>
      <x:c r="D201" s="21" t="str">
        <x:v>First person</x:v>
      </x:c>
      <x:c r="E201" s="21" t="str">
        <x:v>Default</x:v>
      </x:c>
      <x:c r="F201" s="27" t="str">
        <x:v>Required</x:v>
      </x:c>
      <x:c r="G201" s="27" t="str">
        <x:v>P1</x:v>
      </x:c>
      <x:c r="H201" s="27" t="str">
        <x:v>Not Started</x:v>
      </x:c>
      <x:c r="I201" s="27" t="str">
        <x:v>Janfon</x:v>
      </x:c>
      <x:c r="J201" s="21" t="str">
        <x:v>FBX clip on canonical Pusfume rig</x:v>
      </x:c>
      <x:c r="K201" s="21" t="str">
        <x:v>Animation event resolves, weapon grip remains aligned, and blend/recovery timing matches the selected weapon template.</x:v>
      </x:c>
      <x:c r="L201" s="21" t="str">
        <x:v>SRC-009: scripts/settings/equipment/weapon_templates/</x:v>
      </x:c>
      <x:c r="M201" s="21" t="str">
        <x:v>Author against the final supported weapon roster; reuse only after in-game grip and silhouette validation.</x:v>
      </x:c>
    </x:row>
    <x:row r="202" ht="46" customHeight="1">
      <x:c r="A202" s="24" t="str">
        <x:v>ANIM-198</x:v>
      </x:c>
      <x:c r="B202" s="21" t="str">
        <x:v>Weapon combat</x:v>
      </x:c>
      <x:c r="C202" s="21" t="str">
        <x:v>Two-handed melee: Attack cancel / recover</x:v>
      </x:c>
      <x:c r="D202" s="21" t="str">
        <x:v>Third person</x:v>
      </x:c>
      <x:c r="E202" s="21" t="str">
        <x:v>Default</x:v>
      </x:c>
      <x:c r="F202" s="27" t="str">
        <x:v>Required</x:v>
      </x:c>
      <x:c r="G202" s="27" t="str">
        <x:v>P1</x:v>
      </x:c>
      <x:c r="H202" s="27" t="str">
        <x:v>Not Started</x:v>
      </x:c>
      <x:c r="I202" s="27" t="str">
        <x:v>Janfon</x:v>
      </x:c>
      <x:c r="J202" s="21" t="str">
        <x:v>FBX clip on canonical Pusfume rig</x:v>
      </x:c>
      <x:c r="K202" s="21" t="str">
        <x:v>Animation event resolves, weapon grip remains aligned, and blend/recovery timing matches the selected weapon template.</x:v>
      </x:c>
      <x:c r="L202" s="21" t="str">
        <x:v>SRC-009: scripts/settings/equipment/weapon_templates/</x:v>
      </x:c>
      <x:c r="M202" s="21" t="str">
        <x:v>Author against the final supported weapon roster; reuse only after in-game grip and silhouette validation.</x:v>
      </x:c>
    </x:row>
    <x:row r="203" ht="46" customHeight="1">
      <x:c r="A203" s="24" t="str">
        <x:v>ANIM-199</x:v>
      </x:c>
      <x:c r="B203" s="21" t="str">
        <x:v>Weapon combat</x:v>
      </x:c>
      <x:c r="C203" s="21" t="str">
        <x:v>Two-handed melee: Attack cancel / recover</x:v>
      </x:c>
      <x:c r="D203" s="21" t="str">
        <x:v>First person</x:v>
      </x:c>
      <x:c r="E203" s="21" t="str">
        <x:v>Default</x:v>
      </x:c>
      <x:c r="F203" s="27" t="str">
        <x:v>Required</x:v>
      </x:c>
      <x:c r="G203" s="27" t="str">
        <x:v>P1</x:v>
      </x:c>
      <x:c r="H203" s="27" t="str">
        <x:v>Not Started</x:v>
      </x:c>
      <x:c r="I203" s="27" t="str">
        <x:v>Janfon</x:v>
      </x:c>
      <x:c r="J203" s="21" t="str">
        <x:v>FBX clip on canonical Pusfume rig</x:v>
      </x:c>
      <x:c r="K203" s="21" t="str">
        <x:v>Animation event resolves, weapon grip remains aligned, and blend/recovery timing matches the selected weapon template.</x:v>
      </x:c>
      <x:c r="L203" s="21" t="str">
        <x:v>SRC-009: scripts/settings/equipment/weapon_templates/</x:v>
      </x:c>
      <x:c r="M203" s="21" t="str">
        <x:v>Author against the final supported weapon roster; reuse only after in-game grip and silhouette validation.</x:v>
      </x:c>
    </x:row>
    <x:row r="204" ht="46" customHeight="1">
      <x:c r="A204" s="24" t="str">
        <x:v>ANIM-200</x:v>
      </x:c>
      <x:c r="B204" s="21" t="str">
        <x:v>Weapon combat</x:v>
      </x:c>
      <x:c r="C204" s="21" t="str">
        <x:v>Dual wield: Equip / draw</x:v>
      </x:c>
      <x:c r="D204" s="21" t="str">
        <x:v>Third person</x:v>
      </x:c>
      <x:c r="E204" s="21" t="str">
        <x:v>Default</x:v>
      </x:c>
      <x:c r="F204" s="27" t="str">
        <x:v>Required</x:v>
      </x:c>
      <x:c r="G204" s="27" t="str">
        <x:v>P1</x:v>
      </x:c>
      <x:c r="H204" s="27" t="str">
        <x:v>Not Started</x:v>
      </x:c>
      <x:c r="I204" s="27" t="str">
        <x:v>Janfon</x:v>
      </x:c>
      <x:c r="J204" s="21" t="str">
        <x:v>FBX clip on canonical Pusfume rig</x:v>
      </x:c>
      <x:c r="K204" s="21" t="str">
        <x:v>Animation event resolves, weapon grip remains aligned, and blend/recovery timing matches the selected weapon template.</x:v>
      </x:c>
      <x:c r="L204" s="21" t="str">
        <x:v>SRC-009: scripts/settings/equipment/weapon_templates/</x:v>
      </x:c>
      <x:c r="M204" s="21" t="str">
        <x:v>Author against the final supported weapon roster; reuse only after in-game grip and silhouette validation.</x:v>
      </x:c>
    </x:row>
    <x:row r="205" ht="46" customHeight="1">
      <x:c r="A205" s="24" t="str">
        <x:v>ANIM-201</x:v>
      </x:c>
      <x:c r="B205" s="21" t="str">
        <x:v>Weapon combat</x:v>
      </x:c>
      <x:c r="C205" s="21" t="str">
        <x:v>Dual wield: Equip / draw</x:v>
      </x:c>
      <x:c r="D205" s="21" t="str">
        <x:v>First person</x:v>
      </x:c>
      <x:c r="E205" s="21" t="str">
        <x:v>Default</x:v>
      </x:c>
      <x:c r="F205" s="27" t="str">
        <x:v>Required</x:v>
      </x:c>
      <x:c r="G205" s="27" t="str">
        <x:v>P1</x:v>
      </x:c>
      <x:c r="H205" s="27" t="str">
        <x:v>Not Started</x:v>
      </x:c>
      <x:c r="I205" s="27" t="str">
        <x:v>Janfon</x:v>
      </x:c>
      <x:c r="J205" s="21" t="str">
        <x:v>FBX clip on canonical Pusfume rig</x:v>
      </x:c>
      <x:c r="K205" s="21" t="str">
        <x:v>Animation event resolves, weapon grip remains aligned, and blend/recovery timing matches the selected weapon template.</x:v>
      </x:c>
      <x:c r="L205" s="21" t="str">
        <x:v>SRC-009: scripts/settings/equipment/weapon_templates/</x:v>
      </x:c>
      <x:c r="M205" s="21" t="str">
        <x:v>Author against the final supported weapon roster; reuse only after in-game grip and silhouette validation.</x:v>
      </x:c>
    </x:row>
    <x:row r="206" ht="46" customHeight="1">
      <x:c r="A206" s="24" t="str">
        <x:v>ANIM-202</x:v>
      </x:c>
      <x:c r="B206" s="21" t="str">
        <x:v>Weapon combat</x:v>
      </x:c>
      <x:c r="C206" s="21" t="str">
        <x:v>Dual wield: Unequip / stow</x:v>
      </x:c>
      <x:c r="D206" s="21" t="str">
        <x:v>Third person</x:v>
      </x:c>
      <x:c r="E206" s="21" t="str">
        <x:v>Default</x:v>
      </x:c>
      <x:c r="F206" s="27" t="str">
        <x:v>Required</x:v>
      </x:c>
      <x:c r="G206" s="27" t="str">
        <x:v>P1</x:v>
      </x:c>
      <x:c r="H206" s="27" t="str">
        <x:v>Not Started</x:v>
      </x:c>
      <x:c r="I206" s="27" t="str">
        <x:v>Janfon</x:v>
      </x:c>
      <x:c r="J206" s="21" t="str">
        <x:v>FBX clip on canonical Pusfume rig</x:v>
      </x:c>
      <x:c r="K206" s="21" t="str">
        <x:v>Animation event resolves, weapon grip remains aligned, and blend/recovery timing matches the selected weapon template.</x:v>
      </x:c>
      <x:c r="L206" s="21" t="str">
        <x:v>SRC-009: scripts/settings/equipment/weapon_templates/</x:v>
      </x:c>
      <x:c r="M206" s="21" t="str">
        <x:v>Author against the final supported weapon roster; reuse only after in-game grip and silhouette validation.</x:v>
      </x:c>
    </x:row>
    <x:row r="207" ht="46" customHeight="1">
      <x:c r="A207" s="24" t="str">
        <x:v>ANIM-203</x:v>
      </x:c>
      <x:c r="B207" s="21" t="str">
        <x:v>Weapon combat</x:v>
      </x:c>
      <x:c r="C207" s="21" t="str">
        <x:v>Dual wield: Unequip / stow</x:v>
      </x:c>
      <x:c r="D207" s="21" t="str">
        <x:v>First person</x:v>
      </x:c>
      <x:c r="E207" s="21" t="str">
        <x:v>Default</x:v>
      </x:c>
      <x:c r="F207" s="27" t="str">
        <x:v>Required</x:v>
      </x:c>
      <x:c r="G207" s="27" t="str">
        <x:v>P1</x:v>
      </x:c>
      <x:c r="H207" s="27" t="str">
        <x:v>Not Started</x:v>
      </x:c>
      <x:c r="I207" s="27" t="str">
        <x:v>Janfon</x:v>
      </x:c>
      <x:c r="J207" s="21" t="str">
        <x:v>FBX clip on canonical Pusfume rig</x:v>
      </x:c>
      <x:c r="K207" s="21" t="str">
        <x:v>Animation event resolves, weapon grip remains aligned, and blend/recovery timing matches the selected weapon template.</x:v>
      </x:c>
      <x:c r="L207" s="21" t="str">
        <x:v>SRC-009: scripts/settings/equipment/weapon_templates/</x:v>
      </x:c>
      <x:c r="M207" s="21" t="str">
        <x:v>Author against the final supported weapon roster; reuse only after in-game grip and silhouette validation.</x:v>
      </x:c>
    </x:row>
    <x:row r="208" ht="46" customHeight="1">
      <x:c r="A208" s="24" t="str">
        <x:v>ANIM-204</x:v>
      </x:c>
      <x:c r="B208" s="21" t="str">
        <x:v>Weapon combat</x:v>
      </x:c>
      <x:c r="C208" s="21" t="str">
        <x:v>Dual wield: Weapon idle</x:v>
      </x:c>
      <x:c r="D208" s="21" t="str">
        <x:v>Third person</x:v>
      </x:c>
      <x:c r="E208" s="21" t="str">
        <x:v>Default</x:v>
      </x:c>
      <x:c r="F208" s="27" t="str">
        <x:v>Required</x:v>
      </x:c>
      <x:c r="G208" s="27" t="str">
        <x:v>P0</x:v>
      </x:c>
      <x:c r="H208" s="27" t="str">
        <x:v>Not Started</x:v>
      </x:c>
      <x:c r="I208" s="27" t="str">
        <x:v>Janfon</x:v>
      </x:c>
      <x:c r="J208" s="21" t="str">
        <x:v>FBX clip on canonical Pusfume rig</x:v>
      </x:c>
      <x:c r="K208" s="21" t="str">
        <x:v>Animation event resolves, weapon grip remains aligned, and blend/recovery timing matches the selected weapon template.</x:v>
      </x:c>
      <x:c r="L208" s="21" t="str">
        <x:v>SRC-009: scripts/settings/equipment/weapon_templates/</x:v>
      </x:c>
      <x:c r="M208" s="21" t="str">
        <x:v>Author against the final supported weapon roster; reuse only after in-game grip and silhouette validation.</x:v>
      </x:c>
    </x:row>
    <x:row r="209" ht="46" customHeight="1">
      <x:c r="A209" s="24" t="str">
        <x:v>ANIM-205</x:v>
      </x:c>
      <x:c r="B209" s="21" t="str">
        <x:v>Weapon combat</x:v>
      </x:c>
      <x:c r="C209" s="21" t="str">
        <x:v>Dual wield: Weapon idle</x:v>
      </x:c>
      <x:c r="D209" s="21" t="str">
        <x:v>First person</x:v>
      </x:c>
      <x:c r="E209" s="21" t="str">
        <x:v>Default</x:v>
      </x:c>
      <x:c r="F209" s="27" t="str">
        <x:v>Required</x:v>
      </x:c>
      <x:c r="G209" s="27" t="str">
        <x:v>P0</x:v>
      </x:c>
      <x:c r="H209" s="27" t="str">
        <x:v>Not Started</x:v>
      </x:c>
      <x:c r="I209" s="27" t="str">
        <x:v>Janfon</x:v>
      </x:c>
      <x:c r="J209" s="21" t="str">
        <x:v>FBX clip on canonical Pusfume rig</x:v>
      </x:c>
      <x:c r="K209" s="21" t="str">
        <x:v>Animation event resolves, weapon grip remains aligned, and blend/recovery timing matches the selected weapon template.</x:v>
      </x:c>
      <x:c r="L209" s="21" t="str">
        <x:v>SRC-009: scripts/settings/equipment/weapon_templates/</x:v>
      </x:c>
      <x:c r="M209" s="21" t="str">
        <x:v>Author against the final supported weapon roster; reuse only after in-game grip and silhouette validation.</x:v>
      </x:c>
    </x:row>
    <x:row r="210" ht="46" customHeight="1">
      <x:c r="A210" s="24" t="str">
        <x:v>ANIM-206</x:v>
      </x:c>
      <x:c r="B210" s="21" t="str">
        <x:v>Weapon combat</x:v>
      </x:c>
      <x:c r="C210" s="21" t="str">
        <x:v>Dual wield: Light attack</x:v>
      </x:c>
      <x:c r="D210" s="21" t="str">
        <x:v>Third person</x:v>
      </x:c>
      <x:c r="E210" s="21" t="str">
        <x:v>Left-to-right</x:v>
      </x:c>
      <x:c r="F210" s="27" t="str">
        <x:v>Required</x:v>
      </x:c>
      <x:c r="G210" s="27" t="str">
        <x:v>P0</x:v>
      </x:c>
      <x:c r="H210" s="27" t="str">
        <x:v>Not Started</x:v>
      </x:c>
      <x:c r="I210" s="27" t="str">
        <x:v>Janfon</x:v>
      </x:c>
      <x:c r="J210" s="21" t="str">
        <x:v>FBX clip on canonical Pusfume rig</x:v>
      </x:c>
      <x:c r="K210" s="21" t="str">
        <x:v>Animation event resolves, weapon grip remains aligned, and blend/recovery timing matches the selected weapon template.</x:v>
      </x:c>
      <x:c r="L210" s="21" t="str">
        <x:v>SRC-009: scripts/settings/equipment/weapon_templates/</x:v>
      </x:c>
      <x:c r="M210" s="21" t="str">
        <x:v>Author against the final supported weapon roster; reuse only after in-game grip and silhouette validation.</x:v>
      </x:c>
    </x:row>
    <x:row r="211" ht="46" customHeight="1">
      <x:c r="A211" s="24" t="str">
        <x:v>ANIM-207</x:v>
      </x:c>
      <x:c r="B211" s="21" t="str">
        <x:v>Weapon combat</x:v>
      </x:c>
      <x:c r="C211" s="21" t="str">
        <x:v>Dual wield: Light attack</x:v>
      </x:c>
      <x:c r="D211" s="21" t="str">
        <x:v>First person</x:v>
      </x:c>
      <x:c r="E211" s="21" t="str">
        <x:v>Left-to-right</x:v>
      </x:c>
      <x:c r="F211" s="27" t="str">
        <x:v>Required</x:v>
      </x:c>
      <x:c r="G211" s="27" t="str">
        <x:v>P0</x:v>
      </x:c>
      <x:c r="H211" s="27" t="str">
        <x:v>Not Started</x:v>
      </x:c>
      <x:c r="I211" s="27" t="str">
        <x:v>Janfon</x:v>
      </x:c>
      <x:c r="J211" s="21" t="str">
        <x:v>FBX clip on canonical Pusfume rig</x:v>
      </x:c>
      <x:c r="K211" s="21" t="str">
        <x:v>Animation event resolves, weapon grip remains aligned, and blend/recovery timing matches the selected weapon template.</x:v>
      </x:c>
      <x:c r="L211" s="21" t="str">
        <x:v>SRC-009: scripts/settings/equipment/weapon_templates/</x:v>
      </x:c>
      <x:c r="M211" s="21" t="str">
        <x:v>Author against the final supported weapon roster; reuse only after in-game grip and silhouette validation.</x:v>
      </x:c>
    </x:row>
    <x:row r="212" ht="46" customHeight="1">
      <x:c r="A212" s="24" t="str">
        <x:v>ANIM-208</x:v>
      </x:c>
      <x:c r="B212" s="21" t="str">
        <x:v>Weapon combat</x:v>
      </x:c>
      <x:c r="C212" s="21" t="str">
        <x:v>Dual wield: Light attack</x:v>
      </x:c>
      <x:c r="D212" s="21" t="str">
        <x:v>Third person</x:v>
      </x:c>
      <x:c r="E212" s="21" t="str">
        <x:v>Right-to-left</x:v>
      </x:c>
      <x:c r="F212" s="27" t="str">
        <x:v>Required</x:v>
      </x:c>
      <x:c r="G212" s="27" t="str">
        <x:v>P0</x:v>
      </x:c>
      <x:c r="H212" s="27" t="str">
        <x:v>Not Started</x:v>
      </x:c>
      <x:c r="I212" s="27" t="str">
        <x:v>Janfon</x:v>
      </x:c>
      <x:c r="J212" s="21" t="str">
        <x:v>FBX clip on canonical Pusfume rig</x:v>
      </x:c>
      <x:c r="K212" s="21" t="str">
        <x:v>Animation event resolves, weapon grip remains aligned, and blend/recovery timing matches the selected weapon template.</x:v>
      </x:c>
      <x:c r="L212" s="21" t="str">
        <x:v>SRC-009: scripts/settings/equipment/weapon_templates/</x:v>
      </x:c>
      <x:c r="M212" s="21" t="str">
        <x:v>Author against the final supported weapon roster; reuse only after in-game grip and silhouette validation.</x:v>
      </x:c>
    </x:row>
    <x:row r="213" ht="46" customHeight="1">
      <x:c r="A213" s="24" t="str">
        <x:v>ANIM-209</x:v>
      </x:c>
      <x:c r="B213" s="21" t="str">
        <x:v>Weapon combat</x:v>
      </x:c>
      <x:c r="C213" s="21" t="str">
        <x:v>Dual wield: Light attack</x:v>
      </x:c>
      <x:c r="D213" s="21" t="str">
        <x:v>First person</x:v>
      </x:c>
      <x:c r="E213" s="21" t="str">
        <x:v>Right-to-left</x:v>
      </x:c>
      <x:c r="F213" s="27" t="str">
        <x:v>Required</x:v>
      </x:c>
      <x:c r="G213" s="27" t="str">
        <x:v>P0</x:v>
      </x:c>
      <x:c r="H213" s="27" t="str">
        <x:v>Not Started</x:v>
      </x:c>
      <x:c r="I213" s="27" t="str">
        <x:v>Janfon</x:v>
      </x:c>
      <x:c r="J213" s="21" t="str">
        <x:v>FBX clip on canonical Pusfume rig</x:v>
      </x:c>
      <x:c r="K213" s="21" t="str">
        <x:v>Animation event resolves, weapon grip remains aligned, and blend/recovery timing matches the selected weapon template.</x:v>
      </x:c>
      <x:c r="L213" s="21" t="str">
        <x:v>SRC-009: scripts/settings/equipment/weapon_templates/</x:v>
      </x:c>
      <x:c r="M213" s="21" t="str">
        <x:v>Author against the final supported weapon roster; reuse only after in-game grip and silhouette validation.</x:v>
      </x:c>
    </x:row>
    <x:row r="214" ht="46" customHeight="1">
      <x:c r="A214" s="24" t="str">
        <x:v>ANIM-210</x:v>
      </x:c>
      <x:c r="B214" s="21" t="str">
        <x:v>Weapon combat</x:v>
      </x:c>
      <x:c r="C214" s="21" t="str">
        <x:v>Dual wield: Light attack</x:v>
      </x:c>
      <x:c r="D214" s="21" t="str">
        <x:v>Third person</x:v>
      </x:c>
      <x:c r="E214" s="21" t="str">
        <x:v>Overhead</x:v>
      </x:c>
      <x:c r="F214" s="27" t="str">
        <x:v>Required</x:v>
      </x:c>
      <x:c r="G214" s="27" t="str">
        <x:v>P0</x:v>
      </x:c>
      <x:c r="H214" s="27" t="str">
        <x:v>Not Started</x:v>
      </x:c>
      <x:c r="I214" s="27" t="str">
        <x:v>Janfon</x:v>
      </x:c>
      <x:c r="J214" s="21" t="str">
        <x:v>FBX clip on canonical Pusfume rig</x:v>
      </x:c>
      <x:c r="K214" s="21" t="str">
        <x:v>Animation event resolves, weapon grip remains aligned, and blend/recovery timing matches the selected weapon template.</x:v>
      </x:c>
      <x:c r="L214" s="21" t="str">
        <x:v>SRC-009: scripts/settings/equipment/weapon_templates/</x:v>
      </x:c>
      <x:c r="M214" s="21" t="str">
        <x:v>Author against the final supported weapon roster; reuse only after in-game grip and silhouette validation.</x:v>
      </x:c>
    </x:row>
    <x:row r="215" ht="46" customHeight="1">
      <x:c r="A215" s="24" t="str">
        <x:v>ANIM-211</x:v>
      </x:c>
      <x:c r="B215" s="21" t="str">
        <x:v>Weapon combat</x:v>
      </x:c>
      <x:c r="C215" s="21" t="str">
        <x:v>Dual wield: Light attack</x:v>
      </x:c>
      <x:c r="D215" s="21" t="str">
        <x:v>First person</x:v>
      </x:c>
      <x:c r="E215" s="21" t="str">
        <x:v>Overhead</x:v>
      </x:c>
      <x:c r="F215" s="27" t="str">
        <x:v>Required</x:v>
      </x:c>
      <x:c r="G215" s="27" t="str">
        <x:v>P0</x:v>
      </x:c>
      <x:c r="H215" s="27" t="str">
        <x:v>Not Started</x:v>
      </x:c>
      <x:c r="I215" s="27" t="str">
        <x:v>Janfon</x:v>
      </x:c>
      <x:c r="J215" s="21" t="str">
        <x:v>FBX clip on canonical Pusfume rig</x:v>
      </x:c>
      <x:c r="K215" s="21" t="str">
        <x:v>Animation event resolves, weapon grip remains aligned, and blend/recovery timing matches the selected weapon template.</x:v>
      </x:c>
      <x:c r="L215" s="21" t="str">
        <x:v>SRC-009: scripts/settings/equipment/weapon_templates/</x:v>
      </x:c>
      <x:c r="M215" s="21" t="str">
        <x:v>Author against the final supported weapon roster; reuse only after in-game grip and silhouette validation.</x:v>
      </x:c>
    </x:row>
    <x:row r="216" ht="46" customHeight="1">
      <x:c r="A216" s="24" t="str">
        <x:v>ANIM-212</x:v>
      </x:c>
      <x:c r="B216" s="21" t="str">
        <x:v>Weapon combat</x:v>
      </x:c>
      <x:c r="C216" s="21" t="str">
        <x:v>Dual wield: Light attack</x:v>
      </x:c>
      <x:c r="D216" s="21" t="str">
        <x:v>Third person</x:v>
      </x:c>
      <x:c r="E216" s="21" t="str">
        <x:v>Stab</x:v>
      </x:c>
      <x:c r="F216" s="27" t="str">
        <x:v>Required</x:v>
      </x:c>
      <x:c r="G216" s="27" t="str">
        <x:v>P0</x:v>
      </x:c>
      <x:c r="H216" s="27" t="str">
        <x:v>Not Started</x:v>
      </x:c>
      <x:c r="I216" s="27" t="str">
        <x:v>Janfon</x:v>
      </x:c>
      <x:c r="J216" s="21" t="str">
        <x:v>FBX clip on canonical Pusfume rig</x:v>
      </x:c>
      <x:c r="K216" s="21" t="str">
        <x:v>Animation event resolves, weapon grip remains aligned, and blend/recovery timing matches the selected weapon template.</x:v>
      </x:c>
      <x:c r="L216" s="21" t="str">
        <x:v>SRC-009: scripts/settings/equipment/weapon_templates/</x:v>
      </x:c>
      <x:c r="M216" s="21" t="str">
        <x:v>Author against the final supported weapon roster; reuse only after in-game grip and silhouette validation.</x:v>
      </x:c>
    </x:row>
    <x:row r="217" ht="46" customHeight="1">
      <x:c r="A217" s="24" t="str">
        <x:v>ANIM-213</x:v>
      </x:c>
      <x:c r="B217" s="21" t="str">
        <x:v>Weapon combat</x:v>
      </x:c>
      <x:c r="C217" s="21" t="str">
        <x:v>Dual wield: Light attack</x:v>
      </x:c>
      <x:c r="D217" s="21" t="str">
        <x:v>First person</x:v>
      </x:c>
      <x:c r="E217" s="21" t="str">
        <x:v>Stab</x:v>
      </x:c>
      <x:c r="F217" s="27" t="str">
        <x:v>Required</x:v>
      </x:c>
      <x:c r="G217" s="27" t="str">
        <x:v>P0</x:v>
      </x:c>
      <x:c r="H217" s="27" t="str">
        <x:v>Not Started</x:v>
      </x:c>
      <x:c r="I217" s="27" t="str">
        <x:v>Janfon</x:v>
      </x:c>
      <x:c r="J217" s="21" t="str">
        <x:v>FBX clip on canonical Pusfume rig</x:v>
      </x:c>
      <x:c r="K217" s="21" t="str">
        <x:v>Animation event resolves, weapon grip remains aligned, and blend/recovery timing matches the selected weapon template.</x:v>
      </x:c>
      <x:c r="L217" s="21" t="str">
        <x:v>SRC-009: scripts/settings/equipment/weapon_templates/</x:v>
      </x:c>
      <x:c r="M217" s="21" t="str">
        <x:v>Author against the final supported weapon roster; reuse only after in-game grip and silhouette validation.</x:v>
      </x:c>
    </x:row>
    <x:row r="218" ht="46" customHeight="1">
      <x:c r="A218" s="24" t="str">
        <x:v>ANIM-214</x:v>
      </x:c>
      <x:c r="B218" s="21" t="str">
        <x:v>Weapon combat</x:v>
      </x:c>
      <x:c r="C218" s="21" t="str">
        <x:v>Dual wield: Heavy charge pose</x:v>
      </x:c>
      <x:c r="D218" s="21" t="str">
        <x:v>Third person</x:v>
      </x:c>
      <x:c r="E218" s="21" t="str">
        <x:v>Left</x:v>
      </x:c>
      <x:c r="F218" s="27" t="str">
        <x:v>Required</x:v>
      </x:c>
      <x:c r="G218" s="27" t="str">
        <x:v>P1</x:v>
      </x:c>
      <x:c r="H218" s="27" t="str">
        <x:v>Not Started</x:v>
      </x:c>
      <x:c r="I218" s="27" t="str">
        <x:v>Janfon</x:v>
      </x:c>
      <x:c r="J218" s="21" t="str">
        <x:v>FBX clip on canonical Pusfume rig</x:v>
      </x:c>
      <x:c r="K218" s="21" t="str">
        <x:v>Animation event resolves, weapon grip remains aligned, and blend/recovery timing matches the selected weapon template.</x:v>
      </x:c>
      <x:c r="L218" s="21" t="str">
        <x:v>SRC-009: scripts/settings/equipment/weapon_templates/</x:v>
      </x:c>
      <x:c r="M218" s="21" t="str">
        <x:v>Author against the final supported weapon roster; reuse only after in-game grip and silhouette validation.</x:v>
      </x:c>
    </x:row>
    <x:row r="219" ht="46" customHeight="1">
      <x:c r="A219" s="24" t="str">
        <x:v>ANIM-215</x:v>
      </x:c>
      <x:c r="B219" s="21" t="str">
        <x:v>Weapon combat</x:v>
      </x:c>
      <x:c r="C219" s="21" t="str">
        <x:v>Dual wield: Heavy charge pose</x:v>
      </x:c>
      <x:c r="D219" s="21" t="str">
        <x:v>First person</x:v>
      </x:c>
      <x:c r="E219" s="21" t="str">
        <x:v>Left</x:v>
      </x:c>
      <x:c r="F219" s="27" t="str">
        <x:v>Required</x:v>
      </x:c>
      <x:c r="G219" s="27" t="str">
        <x:v>P1</x:v>
      </x:c>
      <x:c r="H219" s="27" t="str">
        <x:v>Not Started</x:v>
      </x:c>
      <x:c r="I219" s="27" t="str">
        <x:v>Janfon</x:v>
      </x:c>
      <x:c r="J219" s="21" t="str">
        <x:v>FBX clip on canonical Pusfume rig</x:v>
      </x:c>
      <x:c r="K219" s="21" t="str">
        <x:v>Animation event resolves, weapon grip remains aligned, and blend/recovery timing matches the selected weapon template.</x:v>
      </x:c>
      <x:c r="L219" s="21" t="str">
        <x:v>SRC-009: scripts/settings/equipment/weapon_templates/</x:v>
      </x:c>
      <x:c r="M219" s="21" t="str">
        <x:v>Author against the final supported weapon roster; reuse only after in-game grip and silhouette validation.</x:v>
      </x:c>
    </x:row>
    <x:row r="220" ht="46" customHeight="1">
      <x:c r="A220" s="24" t="str">
        <x:v>ANIM-216</x:v>
      </x:c>
      <x:c r="B220" s="21" t="str">
        <x:v>Weapon combat</x:v>
      </x:c>
      <x:c r="C220" s="21" t="str">
        <x:v>Dual wield: Heavy charge pose</x:v>
      </x:c>
      <x:c r="D220" s="21" t="str">
        <x:v>Third person</x:v>
      </x:c>
      <x:c r="E220" s="21" t="str">
        <x:v>Right</x:v>
      </x:c>
      <x:c r="F220" s="27" t="str">
        <x:v>Required</x:v>
      </x:c>
      <x:c r="G220" s="27" t="str">
        <x:v>P1</x:v>
      </x:c>
      <x:c r="H220" s="27" t="str">
        <x:v>Not Started</x:v>
      </x:c>
      <x:c r="I220" s="27" t="str">
        <x:v>Janfon</x:v>
      </x:c>
      <x:c r="J220" s="21" t="str">
        <x:v>FBX clip on canonical Pusfume rig</x:v>
      </x:c>
      <x:c r="K220" s="21" t="str">
        <x:v>Animation event resolves, weapon grip remains aligned, and blend/recovery timing matches the selected weapon template.</x:v>
      </x:c>
      <x:c r="L220" s="21" t="str">
        <x:v>SRC-009: scripts/settings/equipment/weapon_templates/</x:v>
      </x:c>
      <x:c r="M220" s="21" t="str">
        <x:v>Author against the final supported weapon roster; reuse only after in-game grip and silhouette validation.</x:v>
      </x:c>
    </x:row>
    <x:row r="221" ht="46" customHeight="1">
      <x:c r="A221" s="24" t="str">
        <x:v>ANIM-217</x:v>
      </x:c>
      <x:c r="B221" s="21" t="str">
        <x:v>Weapon combat</x:v>
      </x:c>
      <x:c r="C221" s="21" t="str">
        <x:v>Dual wield: Heavy charge pose</x:v>
      </x:c>
      <x:c r="D221" s="21" t="str">
        <x:v>First person</x:v>
      </x:c>
      <x:c r="E221" s="21" t="str">
        <x:v>Right</x:v>
      </x:c>
      <x:c r="F221" s="27" t="str">
        <x:v>Required</x:v>
      </x:c>
      <x:c r="G221" s="27" t="str">
        <x:v>P1</x:v>
      </x:c>
      <x:c r="H221" s="27" t="str">
        <x:v>Not Started</x:v>
      </x:c>
      <x:c r="I221" s="27" t="str">
        <x:v>Janfon</x:v>
      </x:c>
      <x:c r="J221" s="21" t="str">
        <x:v>FBX clip on canonical Pusfume rig</x:v>
      </x:c>
      <x:c r="K221" s="21" t="str">
        <x:v>Animation event resolves, weapon grip remains aligned, and blend/recovery timing matches the selected weapon template.</x:v>
      </x:c>
      <x:c r="L221" s="21" t="str">
        <x:v>SRC-009: scripts/settings/equipment/weapon_templates/</x:v>
      </x:c>
      <x:c r="M221" s="21" t="str">
        <x:v>Author against the final supported weapon roster; reuse only after in-game grip and silhouette validation.</x:v>
      </x:c>
    </x:row>
    <x:row r="222" ht="46" customHeight="1">
      <x:c r="A222" s="24" t="str">
        <x:v>ANIM-218</x:v>
      </x:c>
      <x:c r="B222" s="21" t="str">
        <x:v>Weapon combat</x:v>
      </x:c>
      <x:c r="C222" s="21" t="str">
        <x:v>Dual wield: Heavy attack</x:v>
      </x:c>
      <x:c r="D222" s="21" t="str">
        <x:v>Third person</x:v>
      </x:c>
      <x:c r="E222" s="21" t="str">
        <x:v>Diagonal</x:v>
      </x:c>
      <x:c r="F222" s="27" t="str">
        <x:v>Required</x:v>
      </x:c>
      <x:c r="G222" s="27" t="str">
        <x:v>P0</x:v>
      </x:c>
      <x:c r="H222" s="27" t="str">
        <x:v>Not Started</x:v>
      </x:c>
      <x:c r="I222" s="27" t="str">
        <x:v>Janfon</x:v>
      </x:c>
      <x:c r="J222" s="21" t="str">
        <x:v>FBX clip on canonical Pusfume rig</x:v>
      </x:c>
      <x:c r="K222" s="21" t="str">
        <x:v>Animation event resolves, weapon grip remains aligned, and blend/recovery timing matches the selected weapon template.</x:v>
      </x:c>
      <x:c r="L222" s="21" t="str">
        <x:v>SRC-009: scripts/settings/equipment/weapon_templates/</x:v>
      </x:c>
      <x:c r="M222" s="21" t="str">
        <x:v>Author against the final supported weapon roster; reuse only after in-game grip and silhouette validation.</x:v>
      </x:c>
    </x:row>
    <x:row r="223" ht="46" customHeight="1">
      <x:c r="A223" s="24" t="str">
        <x:v>ANIM-219</x:v>
      </x:c>
      <x:c r="B223" s="21" t="str">
        <x:v>Weapon combat</x:v>
      </x:c>
      <x:c r="C223" s="21" t="str">
        <x:v>Dual wield: Heavy attack</x:v>
      </x:c>
      <x:c r="D223" s="21" t="str">
        <x:v>First person</x:v>
      </x:c>
      <x:c r="E223" s="21" t="str">
        <x:v>Diagonal</x:v>
      </x:c>
      <x:c r="F223" s="27" t="str">
        <x:v>Required</x:v>
      </x:c>
      <x:c r="G223" s="27" t="str">
        <x:v>P0</x:v>
      </x:c>
      <x:c r="H223" s="27" t="str">
        <x:v>Not Started</x:v>
      </x:c>
      <x:c r="I223" s="27" t="str">
        <x:v>Janfon</x:v>
      </x:c>
      <x:c r="J223" s="21" t="str">
        <x:v>FBX clip on canonical Pusfume rig</x:v>
      </x:c>
      <x:c r="K223" s="21" t="str">
        <x:v>Animation event resolves, weapon grip remains aligned, and blend/recovery timing matches the selected weapon template.</x:v>
      </x:c>
      <x:c r="L223" s="21" t="str">
        <x:v>SRC-009: scripts/settings/equipment/weapon_templates/</x:v>
      </x:c>
      <x:c r="M223" s="21" t="str">
        <x:v>Author against the final supported weapon roster; reuse only after in-game grip and silhouette validation.</x:v>
      </x:c>
    </x:row>
    <x:row r="224" ht="46" customHeight="1">
      <x:c r="A224" s="24" t="str">
        <x:v>ANIM-220</x:v>
      </x:c>
      <x:c r="B224" s="21" t="str">
        <x:v>Weapon combat</x:v>
      </x:c>
      <x:c r="C224" s="21" t="str">
        <x:v>Dual wield: Heavy attack</x:v>
      </x:c>
      <x:c r="D224" s="21" t="str">
        <x:v>Third person</x:v>
      </x:c>
      <x:c r="E224" s="21" t="str">
        <x:v>Overhead</x:v>
      </x:c>
      <x:c r="F224" s="27" t="str">
        <x:v>Required</x:v>
      </x:c>
      <x:c r="G224" s="27" t="str">
        <x:v>P0</x:v>
      </x:c>
      <x:c r="H224" s="27" t="str">
        <x:v>Not Started</x:v>
      </x:c>
      <x:c r="I224" s="27" t="str">
        <x:v>Janfon</x:v>
      </x:c>
      <x:c r="J224" s="21" t="str">
        <x:v>FBX clip on canonical Pusfume rig</x:v>
      </x:c>
      <x:c r="K224" s="21" t="str">
        <x:v>Animation event resolves, weapon grip remains aligned, and blend/recovery timing matches the selected weapon template.</x:v>
      </x:c>
      <x:c r="L224" s="21" t="str">
        <x:v>SRC-009: scripts/settings/equipment/weapon_templates/</x:v>
      </x:c>
      <x:c r="M224" s="21" t="str">
        <x:v>Author against the final supported weapon roster; reuse only after in-game grip and silhouette validation.</x:v>
      </x:c>
    </x:row>
    <x:row r="225" ht="46" customHeight="1">
      <x:c r="A225" s="24" t="str">
        <x:v>ANIM-221</x:v>
      </x:c>
      <x:c r="B225" s="21" t="str">
        <x:v>Weapon combat</x:v>
      </x:c>
      <x:c r="C225" s="21" t="str">
        <x:v>Dual wield: Heavy attack</x:v>
      </x:c>
      <x:c r="D225" s="21" t="str">
        <x:v>First person</x:v>
      </x:c>
      <x:c r="E225" s="21" t="str">
        <x:v>Overhead</x:v>
      </x:c>
      <x:c r="F225" s="27" t="str">
        <x:v>Required</x:v>
      </x:c>
      <x:c r="G225" s="27" t="str">
        <x:v>P0</x:v>
      </x:c>
      <x:c r="H225" s="27" t="str">
        <x:v>Not Started</x:v>
      </x:c>
      <x:c r="I225" s="27" t="str">
        <x:v>Janfon</x:v>
      </x:c>
      <x:c r="J225" s="21" t="str">
        <x:v>FBX clip on canonical Pusfume rig</x:v>
      </x:c>
      <x:c r="K225" s="21" t="str">
        <x:v>Animation event resolves, weapon grip remains aligned, and blend/recovery timing matches the selected weapon template.</x:v>
      </x:c>
      <x:c r="L225" s="21" t="str">
        <x:v>SRC-009: scripts/settings/equipment/weapon_templates/</x:v>
      </x:c>
      <x:c r="M225" s="21" t="str">
        <x:v>Author against the final supported weapon roster; reuse only after in-game grip and silhouette validation.</x:v>
      </x:c>
    </x:row>
    <x:row r="226" ht="46" customHeight="1">
      <x:c r="A226" s="24" t="str">
        <x:v>ANIM-222</x:v>
      </x:c>
      <x:c r="B226" s="21" t="str">
        <x:v>Weapon combat</x:v>
      </x:c>
      <x:c r="C226" s="21" t="str">
        <x:v>Dual wield: Heavy attack</x:v>
      </x:c>
      <x:c r="D226" s="21" t="str">
        <x:v>Third person</x:v>
      </x:c>
      <x:c r="E226" s="21" t="str">
        <x:v>Stab</x:v>
      </x:c>
      <x:c r="F226" s="27" t="str">
        <x:v>Required</x:v>
      </x:c>
      <x:c r="G226" s="27" t="str">
        <x:v>P0</x:v>
      </x:c>
      <x:c r="H226" s="27" t="str">
        <x:v>Not Started</x:v>
      </x:c>
      <x:c r="I226" s="27" t="str">
        <x:v>Janfon</x:v>
      </x:c>
      <x:c r="J226" s="21" t="str">
        <x:v>FBX clip on canonical Pusfume rig</x:v>
      </x:c>
      <x:c r="K226" s="21" t="str">
        <x:v>Animation event resolves, weapon grip remains aligned, and blend/recovery timing matches the selected weapon template.</x:v>
      </x:c>
      <x:c r="L226" s="21" t="str">
        <x:v>SRC-009: scripts/settings/equipment/weapon_templates/</x:v>
      </x:c>
      <x:c r="M226" s="21" t="str">
        <x:v>Author against the final supported weapon roster; reuse only after in-game grip and silhouette validation.</x:v>
      </x:c>
    </x:row>
    <x:row r="227" ht="46" customHeight="1">
      <x:c r="A227" s="24" t="str">
        <x:v>ANIM-223</x:v>
      </x:c>
      <x:c r="B227" s="21" t="str">
        <x:v>Weapon combat</x:v>
      </x:c>
      <x:c r="C227" s="21" t="str">
        <x:v>Dual wield: Heavy attack</x:v>
      </x:c>
      <x:c r="D227" s="21" t="str">
        <x:v>First person</x:v>
      </x:c>
      <x:c r="E227" s="21" t="str">
        <x:v>Stab</x:v>
      </x:c>
      <x:c r="F227" s="27" t="str">
        <x:v>Required</x:v>
      </x:c>
      <x:c r="G227" s="27" t="str">
        <x:v>P0</x:v>
      </x:c>
      <x:c r="H227" s="27" t="str">
        <x:v>Not Started</x:v>
      </x:c>
      <x:c r="I227" s="27" t="str">
        <x:v>Janfon</x:v>
      </x:c>
      <x:c r="J227" s="21" t="str">
        <x:v>FBX clip on canonical Pusfume rig</x:v>
      </x:c>
      <x:c r="K227" s="21" t="str">
        <x:v>Animation event resolves, weapon grip remains aligned, and blend/recovery timing matches the selected weapon template.</x:v>
      </x:c>
      <x:c r="L227" s="21" t="str">
        <x:v>SRC-009: scripts/settings/equipment/weapon_templates/</x:v>
      </x:c>
      <x:c r="M227" s="21" t="str">
        <x:v>Author against the final supported weapon roster; reuse only after in-game grip and silhouette validation.</x:v>
      </x:c>
    </x:row>
    <x:row r="228" ht="46" customHeight="1">
      <x:c r="A228" s="24" t="str">
        <x:v>ANIM-224</x:v>
      </x:c>
      <x:c r="B228" s="21" t="str">
        <x:v>Weapon combat</x:v>
      </x:c>
      <x:c r="C228" s="21" t="str">
        <x:v>Dual wield: Block enter</x:v>
      </x:c>
      <x:c r="D228" s="21" t="str">
        <x:v>Third person</x:v>
      </x:c>
      <x:c r="E228" s="21" t="str">
        <x:v>Default</x:v>
      </x:c>
      <x:c r="F228" s="27" t="str">
        <x:v>Required</x:v>
      </x:c>
      <x:c r="G228" s="27" t="str">
        <x:v>P1</x:v>
      </x:c>
      <x:c r="H228" s="27" t="str">
        <x:v>Not Started</x:v>
      </x:c>
      <x:c r="I228" s="27" t="str">
        <x:v>Janfon</x:v>
      </x:c>
      <x:c r="J228" s="21" t="str">
        <x:v>FBX clip on canonical Pusfume rig</x:v>
      </x:c>
      <x:c r="K228" s="21" t="str">
        <x:v>Animation event resolves, weapon grip remains aligned, and blend/recovery timing matches the selected weapon template.</x:v>
      </x:c>
      <x:c r="L228" s="21" t="str">
        <x:v>SRC-009: scripts/settings/equipment/weapon_templates/</x:v>
      </x:c>
      <x:c r="M228" s="21" t="str">
        <x:v>Author against the final supported weapon roster; reuse only after in-game grip and silhouette validation.</x:v>
      </x:c>
    </x:row>
    <x:row r="229" ht="46" customHeight="1">
      <x:c r="A229" s="24" t="str">
        <x:v>ANIM-225</x:v>
      </x:c>
      <x:c r="B229" s="21" t="str">
        <x:v>Weapon combat</x:v>
      </x:c>
      <x:c r="C229" s="21" t="str">
        <x:v>Dual wield: Block enter</x:v>
      </x:c>
      <x:c r="D229" s="21" t="str">
        <x:v>First person</x:v>
      </x:c>
      <x:c r="E229" s="21" t="str">
        <x:v>Default</x:v>
      </x:c>
      <x:c r="F229" s="27" t="str">
        <x:v>Required</x:v>
      </x:c>
      <x:c r="G229" s="27" t="str">
        <x:v>P1</x:v>
      </x:c>
      <x:c r="H229" s="27" t="str">
        <x:v>Not Started</x:v>
      </x:c>
      <x:c r="I229" s="27" t="str">
        <x:v>Janfon</x:v>
      </x:c>
      <x:c r="J229" s="21" t="str">
        <x:v>FBX clip on canonical Pusfume rig</x:v>
      </x:c>
      <x:c r="K229" s="21" t="str">
        <x:v>Animation event resolves, weapon grip remains aligned, and blend/recovery timing matches the selected weapon template.</x:v>
      </x:c>
      <x:c r="L229" s="21" t="str">
        <x:v>SRC-009: scripts/settings/equipment/weapon_templates/</x:v>
      </x:c>
      <x:c r="M229" s="21" t="str">
        <x:v>Author against the final supported weapon roster; reuse only after in-game grip and silhouette validation.</x:v>
      </x:c>
    </x:row>
    <x:row r="230" ht="46" customHeight="1">
      <x:c r="A230" s="24" t="str">
        <x:v>ANIM-226</x:v>
      </x:c>
      <x:c r="B230" s="21" t="str">
        <x:v>Weapon combat</x:v>
      </x:c>
      <x:c r="C230" s="21" t="str">
        <x:v>Dual wield: Block idle</x:v>
      </x:c>
      <x:c r="D230" s="21" t="str">
        <x:v>Third person</x:v>
      </x:c>
      <x:c r="E230" s="21" t="str">
        <x:v>Default</x:v>
      </x:c>
      <x:c r="F230" s="27" t="str">
        <x:v>Required</x:v>
      </x:c>
      <x:c r="G230" s="27" t="str">
        <x:v>P0</x:v>
      </x:c>
      <x:c r="H230" s="27" t="str">
        <x:v>Not Started</x:v>
      </x:c>
      <x:c r="I230" s="27" t="str">
        <x:v>Janfon</x:v>
      </x:c>
      <x:c r="J230" s="21" t="str">
        <x:v>FBX clip on canonical Pusfume rig</x:v>
      </x:c>
      <x:c r="K230" s="21" t="str">
        <x:v>Animation event resolves, weapon grip remains aligned, and blend/recovery timing matches the selected weapon template.</x:v>
      </x:c>
      <x:c r="L230" s="21" t="str">
        <x:v>SRC-009: scripts/settings/equipment/weapon_templates/</x:v>
      </x:c>
      <x:c r="M230" s="21" t="str">
        <x:v>Author against the final supported weapon roster; reuse only after in-game grip and silhouette validation.</x:v>
      </x:c>
    </x:row>
    <x:row r="231" ht="46" customHeight="1">
      <x:c r="A231" s="24" t="str">
        <x:v>ANIM-227</x:v>
      </x:c>
      <x:c r="B231" s="21" t="str">
        <x:v>Weapon combat</x:v>
      </x:c>
      <x:c r="C231" s="21" t="str">
        <x:v>Dual wield: Block idle</x:v>
      </x:c>
      <x:c r="D231" s="21" t="str">
        <x:v>First person</x:v>
      </x:c>
      <x:c r="E231" s="21" t="str">
        <x:v>Default</x:v>
      </x:c>
      <x:c r="F231" s="27" t="str">
        <x:v>Required</x:v>
      </x:c>
      <x:c r="G231" s="27" t="str">
        <x:v>P0</x:v>
      </x:c>
      <x:c r="H231" s="27" t="str">
        <x:v>Not Started</x:v>
      </x:c>
      <x:c r="I231" s="27" t="str">
        <x:v>Janfon</x:v>
      </x:c>
      <x:c r="J231" s="21" t="str">
        <x:v>FBX clip on canonical Pusfume rig</x:v>
      </x:c>
      <x:c r="K231" s="21" t="str">
        <x:v>Animation event resolves, weapon grip remains aligned, and blend/recovery timing matches the selected weapon template.</x:v>
      </x:c>
      <x:c r="L231" s="21" t="str">
        <x:v>SRC-009: scripts/settings/equipment/weapon_templates/</x:v>
      </x:c>
      <x:c r="M231" s="21" t="str">
        <x:v>Author against the final supported weapon roster; reuse only after in-game grip and silhouette validation.</x:v>
      </x:c>
    </x:row>
    <x:row r="232" ht="46" customHeight="1">
      <x:c r="A232" s="24" t="str">
        <x:v>ANIM-228</x:v>
      </x:c>
      <x:c r="B232" s="21" t="str">
        <x:v>Weapon combat</x:v>
      </x:c>
      <x:c r="C232" s="21" t="str">
        <x:v>Dual wield: Block hit reaction</x:v>
      </x:c>
      <x:c r="D232" s="21" t="str">
        <x:v>Third person</x:v>
      </x:c>
      <x:c r="E232" s="21" t="str">
        <x:v>Light</x:v>
      </x:c>
      <x:c r="F232" s="27" t="str">
        <x:v>Required</x:v>
      </x:c>
      <x:c r="G232" s="27" t="str">
        <x:v>P1</x:v>
      </x:c>
      <x:c r="H232" s="27" t="str">
        <x:v>Not Started</x:v>
      </x:c>
      <x:c r="I232" s="27" t="str">
        <x:v>Janfon</x:v>
      </x:c>
      <x:c r="J232" s="21" t="str">
        <x:v>FBX clip on canonical Pusfume rig</x:v>
      </x:c>
      <x:c r="K232" s="21" t="str">
        <x:v>Animation event resolves, weapon grip remains aligned, and blend/recovery timing matches the selected weapon template.</x:v>
      </x:c>
      <x:c r="L232" s="21" t="str">
        <x:v>SRC-009: scripts/settings/equipment/weapon_templates/</x:v>
      </x:c>
      <x:c r="M232" s="21" t="str">
        <x:v>Author against the final supported weapon roster; reuse only after in-game grip and silhouette validation.</x:v>
      </x:c>
    </x:row>
    <x:row r="233" ht="46" customHeight="1">
      <x:c r="A233" s="24" t="str">
        <x:v>ANIM-229</x:v>
      </x:c>
      <x:c r="B233" s="21" t="str">
        <x:v>Weapon combat</x:v>
      </x:c>
      <x:c r="C233" s="21" t="str">
        <x:v>Dual wield: Block hit reaction</x:v>
      </x:c>
      <x:c r="D233" s="21" t="str">
        <x:v>First person</x:v>
      </x:c>
      <x:c r="E233" s="21" t="str">
        <x:v>Light</x:v>
      </x:c>
      <x:c r="F233" s="27" t="str">
        <x:v>Required</x:v>
      </x:c>
      <x:c r="G233" s="27" t="str">
        <x:v>P1</x:v>
      </x:c>
      <x:c r="H233" s="27" t="str">
        <x:v>Not Started</x:v>
      </x:c>
      <x:c r="I233" s="27" t="str">
        <x:v>Janfon</x:v>
      </x:c>
      <x:c r="J233" s="21" t="str">
        <x:v>FBX clip on canonical Pusfume rig</x:v>
      </x:c>
      <x:c r="K233" s="21" t="str">
        <x:v>Animation event resolves, weapon grip remains aligned, and blend/recovery timing matches the selected weapon template.</x:v>
      </x:c>
      <x:c r="L233" s="21" t="str">
        <x:v>SRC-009: scripts/settings/equipment/weapon_templates/</x:v>
      </x:c>
      <x:c r="M233" s="21" t="str">
        <x:v>Author against the final supported weapon roster; reuse only after in-game grip and silhouette validation.</x:v>
      </x:c>
    </x:row>
    <x:row r="234" ht="46" customHeight="1">
      <x:c r="A234" s="24" t="str">
        <x:v>ANIM-230</x:v>
      </x:c>
      <x:c r="B234" s="21" t="str">
        <x:v>Weapon combat</x:v>
      </x:c>
      <x:c r="C234" s="21" t="str">
        <x:v>Dual wield: Block hit reaction</x:v>
      </x:c>
      <x:c r="D234" s="21" t="str">
        <x:v>Third person</x:v>
      </x:c>
      <x:c r="E234" s="21" t="str">
        <x:v>Heavy</x:v>
      </x:c>
      <x:c r="F234" s="27" t="str">
        <x:v>Required</x:v>
      </x:c>
      <x:c r="G234" s="27" t="str">
        <x:v>P1</x:v>
      </x:c>
      <x:c r="H234" s="27" t="str">
        <x:v>Not Started</x:v>
      </x:c>
      <x:c r="I234" s="27" t="str">
        <x:v>Janfon</x:v>
      </x:c>
      <x:c r="J234" s="21" t="str">
        <x:v>FBX clip on canonical Pusfume rig</x:v>
      </x:c>
      <x:c r="K234" s="21" t="str">
        <x:v>Animation event resolves, weapon grip remains aligned, and blend/recovery timing matches the selected weapon template.</x:v>
      </x:c>
      <x:c r="L234" s="21" t="str">
        <x:v>SRC-009: scripts/settings/equipment/weapon_templates/</x:v>
      </x:c>
      <x:c r="M234" s="21" t="str">
        <x:v>Author against the final supported weapon roster; reuse only after in-game grip and silhouette validation.</x:v>
      </x:c>
    </x:row>
    <x:row r="235" ht="46" customHeight="1">
      <x:c r="A235" s="24" t="str">
        <x:v>ANIM-231</x:v>
      </x:c>
      <x:c r="B235" s="21" t="str">
        <x:v>Weapon combat</x:v>
      </x:c>
      <x:c r="C235" s="21" t="str">
        <x:v>Dual wield: Block hit reaction</x:v>
      </x:c>
      <x:c r="D235" s="21" t="str">
        <x:v>First person</x:v>
      </x:c>
      <x:c r="E235" s="21" t="str">
        <x:v>Heavy</x:v>
      </x:c>
      <x:c r="F235" s="27" t="str">
        <x:v>Required</x:v>
      </x:c>
      <x:c r="G235" s="27" t="str">
        <x:v>P1</x:v>
      </x:c>
      <x:c r="H235" s="27" t="str">
        <x:v>Not Started</x:v>
      </x:c>
      <x:c r="I235" s="27" t="str">
        <x:v>Janfon</x:v>
      </x:c>
      <x:c r="J235" s="21" t="str">
        <x:v>FBX clip on canonical Pusfume rig</x:v>
      </x:c>
      <x:c r="K235" s="21" t="str">
        <x:v>Animation event resolves, weapon grip remains aligned, and blend/recovery timing matches the selected weapon template.</x:v>
      </x:c>
      <x:c r="L235" s="21" t="str">
        <x:v>SRC-009: scripts/settings/equipment/weapon_templates/</x:v>
      </x:c>
      <x:c r="M235" s="21" t="str">
        <x:v>Author against the final supported weapon roster; reuse only after in-game grip and silhouette validation.</x:v>
      </x:c>
    </x:row>
    <x:row r="236" ht="46" customHeight="1">
      <x:c r="A236" s="24" t="str">
        <x:v>ANIM-232</x:v>
      </x:c>
      <x:c r="B236" s="21" t="str">
        <x:v>Weapon combat</x:v>
      </x:c>
      <x:c r="C236" s="21" t="str">
        <x:v>Dual wield: Push</x:v>
      </x:c>
      <x:c r="D236" s="21" t="str">
        <x:v>Third person</x:v>
      </x:c>
      <x:c r="E236" s="21" t="str">
        <x:v>Default</x:v>
      </x:c>
      <x:c r="F236" s="27" t="str">
        <x:v>Required</x:v>
      </x:c>
      <x:c r="G236" s="27" t="str">
        <x:v>P1</x:v>
      </x:c>
      <x:c r="H236" s="27" t="str">
        <x:v>Not Started</x:v>
      </x:c>
      <x:c r="I236" s="27" t="str">
        <x:v>Janfon</x:v>
      </x:c>
      <x:c r="J236" s="21" t="str">
        <x:v>FBX clip on canonical Pusfume rig</x:v>
      </x:c>
      <x:c r="K236" s="21" t="str">
        <x:v>Animation event resolves, weapon grip remains aligned, and blend/recovery timing matches the selected weapon template.</x:v>
      </x:c>
      <x:c r="L236" s="21" t="str">
        <x:v>SRC-009: scripts/settings/equipment/weapon_templates/</x:v>
      </x:c>
      <x:c r="M236" s="21" t="str">
        <x:v>Author against the final supported weapon roster; reuse only after in-game grip and silhouette validation.</x:v>
      </x:c>
    </x:row>
    <x:row r="237" ht="46" customHeight="1">
      <x:c r="A237" s="24" t="str">
        <x:v>ANIM-233</x:v>
      </x:c>
      <x:c r="B237" s="21" t="str">
        <x:v>Weapon combat</x:v>
      </x:c>
      <x:c r="C237" s="21" t="str">
        <x:v>Dual wield: Push</x:v>
      </x:c>
      <x:c r="D237" s="21" t="str">
        <x:v>First person</x:v>
      </x:c>
      <x:c r="E237" s="21" t="str">
        <x:v>Default</x:v>
      </x:c>
      <x:c r="F237" s="27" t="str">
        <x:v>Required</x:v>
      </x:c>
      <x:c r="G237" s="27" t="str">
        <x:v>P1</x:v>
      </x:c>
      <x:c r="H237" s="27" t="str">
        <x:v>Not Started</x:v>
      </x:c>
      <x:c r="I237" s="27" t="str">
        <x:v>Janfon</x:v>
      </x:c>
      <x:c r="J237" s="21" t="str">
        <x:v>FBX clip on canonical Pusfume rig</x:v>
      </x:c>
      <x:c r="K237" s="21" t="str">
        <x:v>Animation event resolves, weapon grip remains aligned, and blend/recovery timing matches the selected weapon template.</x:v>
      </x:c>
      <x:c r="L237" s="21" t="str">
        <x:v>SRC-009: scripts/settings/equipment/weapon_templates/</x:v>
      </x:c>
      <x:c r="M237" s="21" t="str">
        <x:v>Author against the final supported weapon roster; reuse only after in-game grip and silhouette validation.</x:v>
      </x:c>
    </x:row>
    <x:row r="238" ht="46" customHeight="1">
      <x:c r="A238" s="24" t="str">
        <x:v>ANIM-234</x:v>
      </x:c>
      <x:c r="B238" s="21" t="str">
        <x:v>Weapon combat</x:v>
      </x:c>
      <x:c r="C238" s="21" t="str">
        <x:v>Dual wield: Push-follow-up</x:v>
      </x:c>
      <x:c r="D238" s="21" t="str">
        <x:v>Third person</x:v>
      </x:c>
      <x:c r="E238" s="21" t="str">
        <x:v>Default</x:v>
      </x:c>
      <x:c r="F238" s="27" t="str">
        <x:v>Required</x:v>
      </x:c>
      <x:c r="G238" s="27" t="str">
        <x:v>P1</x:v>
      </x:c>
      <x:c r="H238" s="27" t="str">
        <x:v>Not Started</x:v>
      </x:c>
      <x:c r="I238" s="27" t="str">
        <x:v>Janfon</x:v>
      </x:c>
      <x:c r="J238" s="21" t="str">
        <x:v>FBX clip on canonical Pusfume rig</x:v>
      </x:c>
      <x:c r="K238" s="21" t="str">
        <x:v>Animation event resolves, weapon grip remains aligned, and blend/recovery timing matches the selected weapon template.</x:v>
      </x:c>
      <x:c r="L238" s="21" t="str">
        <x:v>SRC-009: scripts/settings/equipment/weapon_templates/</x:v>
      </x:c>
      <x:c r="M238" s="21" t="str">
        <x:v>Author against the final supported weapon roster; reuse only after in-game grip and silhouette validation.</x:v>
      </x:c>
    </x:row>
    <x:row r="239" ht="46" customHeight="1">
      <x:c r="A239" s="24" t="str">
        <x:v>ANIM-235</x:v>
      </x:c>
      <x:c r="B239" s="21" t="str">
        <x:v>Weapon combat</x:v>
      </x:c>
      <x:c r="C239" s="21" t="str">
        <x:v>Dual wield: Push-follow-up</x:v>
      </x:c>
      <x:c r="D239" s="21" t="str">
        <x:v>First person</x:v>
      </x:c>
      <x:c r="E239" s="21" t="str">
        <x:v>Default</x:v>
      </x:c>
      <x:c r="F239" s="27" t="str">
        <x:v>Required</x:v>
      </x:c>
      <x:c r="G239" s="27" t="str">
        <x:v>P1</x:v>
      </x:c>
      <x:c r="H239" s="27" t="str">
        <x:v>Not Started</x:v>
      </x:c>
      <x:c r="I239" s="27" t="str">
        <x:v>Janfon</x:v>
      </x:c>
      <x:c r="J239" s="21" t="str">
        <x:v>FBX clip on canonical Pusfume rig</x:v>
      </x:c>
      <x:c r="K239" s="21" t="str">
        <x:v>Animation event resolves, weapon grip remains aligned, and blend/recovery timing matches the selected weapon template.</x:v>
      </x:c>
      <x:c r="L239" s="21" t="str">
        <x:v>SRC-009: scripts/settings/equipment/weapon_templates/</x:v>
      </x:c>
      <x:c r="M239" s="21" t="str">
        <x:v>Author against the final supported weapon roster; reuse only after in-game grip and silhouette validation.</x:v>
      </x:c>
    </x:row>
    <x:row r="240" ht="46" customHeight="1">
      <x:c r="A240" s="24" t="str">
        <x:v>ANIM-236</x:v>
      </x:c>
      <x:c r="B240" s="21" t="str">
        <x:v>Weapon combat</x:v>
      </x:c>
      <x:c r="C240" s="21" t="str">
        <x:v>Dual wield: Parry</x:v>
      </x:c>
      <x:c r="D240" s="21" t="str">
        <x:v>Third person</x:v>
      </x:c>
      <x:c r="E240" s="21" t="str">
        <x:v>Default</x:v>
      </x:c>
      <x:c r="F240" s="27" t="str">
        <x:v>Required</x:v>
      </x:c>
      <x:c r="G240" s="27" t="str">
        <x:v>P1</x:v>
      </x:c>
      <x:c r="H240" s="27" t="str">
        <x:v>Not Started</x:v>
      </x:c>
      <x:c r="I240" s="27" t="str">
        <x:v>Janfon</x:v>
      </x:c>
      <x:c r="J240" s="21" t="str">
        <x:v>FBX clip on canonical Pusfume rig</x:v>
      </x:c>
      <x:c r="K240" s="21" t="str">
        <x:v>Animation event resolves, weapon grip remains aligned, and blend/recovery timing matches the selected weapon template.</x:v>
      </x:c>
      <x:c r="L240" s="21" t="str">
        <x:v>SRC-009: scripts/settings/equipment/weapon_templates/</x:v>
      </x:c>
      <x:c r="M240" s="21" t="str">
        <x:v>Author against the final supported weapon roster; reuse only after in-game grip and silhouette validation.</x:v>
      </x:c>
    </x:row>
    <x:row r="241" ht="46" customHeight="1">
      <x:c r="A241" s="24" t="str">
        <x:v>ANIM-237</x:v>
      </x:c>
      <x:c r="B241" s="21" t="str">
        <x:v>Weapon combat</x:v>
      </x:c>
      <x:c r="C241" s="21" t="str">
        <x:v>Dual wield: Parry</x:v>
      </x:c>
      <x:c r="D241" s="21" t="str">
        <x:v>First person</x:v>
      </x:c>
      <x:c r="E241" s="21" t="str">
        <x:v>Default</x:v>
      </x:c>
      <x:c r="F241" s="27" t="str">
        <x:v>Required</x:v>
      </x:c>
      <x:c r="G241" s="27" t="str">
        <x:v>P1</x:v>
      </x:c>
      <x:c r="H241" s="27" t="str">
        <x:v>Not Started</x:v>
      </x:c>
      <x:c r="I241" s="27" t="str">
        <x:v>Janfon</x:v>
      </x:c>
      <x:c r="J241" s="21" t="str">
        <x:v>FBX clip on canonical Pusfume rig</x:v>
      </x:c>
      <x:c r="K241" s="21" t="str">
        <x:v>Animation event resolves, weapon grip remains aligned, and blend/recovery timing matches the selected weapon template.</x:v>
      </x:c>
      <x:c r="L241" s="21" t="str">
        <x:v>SRC-009: scripts/settings/equipment/weapon_templates/</x:v>
      </x:c>
      <x:c r="M241" s="21" t="str">
        <x:v>Author against the final supported weapon roster; reuse only after in-game grip and silhouette validation.</x:v>
      </x:c>
    </x:row>
    <x:row r="242" ht="46" customHeight="1">
      <x:c r="A242" s="24" t="str">
        <x:v>ANIM-238</x:v>
      </x:c>
      <x:c r="B242" s="21" t="str">
        <x:v>Weapon combat</x:v>
      </x:c>
      <x:c r="C242" s="21" t="str">
        <x:v>Dual wield: Attack cancel / recover</x:v>
      </x:c>
      <x:c r="D242" s="21" t="str">
        <x:v>Third person</x:v>
      </x:c>
      <x:c r="E242" s="21" t="str">
        <x:v>Default</x:v>
      </x:c>
      <x:c r="F242" s="27" t="str">
        <x:v>Required</x:v>
      </x:c>
      <x:c r="G242" s="27" t="str">
        <x:v>P1</x:v>
      </x:c>
      <x:c r="H242" s="27" t="str">
        <x:v>Not Started</x:v>
      </x:c>
      <x:c r="I242" s="27" t="str">
        <x:v>Janfon</x:v>
      </x:c>
      <x:c r="J242" s="21" t="str">
        <x:v>FBX clip on canonical Pusfume rig</x:v>
      </x:c>
      <x:c r="K242" s="21" t="str">
        <x:v>Animation event resolves, weapon grip remains aligned, and blend/recovery timing matches the selected weapon template.</x:v>
      </x:c>
      <x:c r="L242" s="21" t="str">
        <x:v>SRC-009: scripts/settings/equipment/weapon_templates/</x:v>
      </x:c>
      <x:c r="M242" s="21" t="str">
        <x:v>Author against the final supported weapon roster; reuse only after in-game grip and silhouette validation.</x:v>
      </x:c>
    </x:row>
    <x:row r="243" ht="46" customHeight="1">
      <x:c r="A243" s="24" t="str">
        <x:v>ANIM-239</x:v>
      </x:c>
      <x:c r="B243" s="21" t="str">
        <x:v>Weapon combat</x:v>
      </x:c>
      <x:c r="C243" s="21" t="str">
        <x:v>Dual wield: Attack cancel / recover</x:v>
      </x:c>
      <x:c r="D243" s="21" t="str">
        <x:v>First person</x:v>
      </x:c>
      <x:c r="E243" s="21" t="str">
        <x:v>Default</x:v>
      </x:c>
      <x:c r="F243" s="27" t="str">
        <x:v>Required</x:v>
      </x:c>
      <x:c r="G243" s="27" t="str">
        <x:v>P1</x:v>
      </x:c>
      <x:c r="H243" s="27" t="str">
        <x:v>Not Started</x:v>
      </x:c>
      <x:c r="I243" s="27" t="str">
        <x:v>Janfon</x:v>
      </x:c>
      <x:c r="J243" s="21" t="str">
        <x:v>FBX clip on canonical Pusfume rig</x:v>
      </x:c>
      <x:c r="K243" s="21" t="str">
        <x:v>Animation event resolves, weapon grip remains aligned, and blend/recovery timing matches the selected weapon template.</x:v>
      </x:c>
      <x:c r="L243" s="21" t="str">
        <x:v>SRC-009: scripts/settings/equipment/weapon_templates/</x:v>
      </x:c>
      <x:c r="M243" s="21" t="str">
        <x:v>Author against the final supported weapon roster; reuse only after in-game grip and silhouette validation.</x:v>
      </x:c>
    </x:row>
    <x:row r="244" ht="46" customHeight="1">
      <x:c r="A244" s="24" t="str">
        <x:v>ANIM-240</x:v>
      </x:c>
      <x:c r="B244" s="21" t="str">
        <x:v>Weapon combat</x:v>
      </x:c>
      <x:c r="C244" s="21" t="str">
        <x:v>Shielded melee: Equip / draw</x:v>
      </x:c>
      <x:c r="D244" s="21" t="str">
        <x:v>Third person</x:v>
      </x:c>
      <x:c r="E244" s="21" t="str">
        <x:v>Default</x:v>
      </x:c>
      <x:c r="F244" s="27" t="str">
        <x:v>Conditional</x:v>
      </x:c>
      <x:c r="G244" s="27" t="str">
        <x:v>P1</x:v>
      </x:c>
      <x:c r="H244" s="27" t="str">
        <x:v>Not Started</x:v>
      </x:c>
      <x:c r="I244" s="27" t="str">
        <x:v>Janfon</x:v>
      </x:c>
      <x:c r="J244" s="21" t="str">
        <x:v>FBX clip on canonical Pusfume rig</x:v>
      </x:c>
      <x:c r="K244" s="21" t="str">
        <x:v>Animation event resolves, weapon grip remains aligned, and blend/recovery timing matches the selected weapon template.</x:v>
      </x:c>
      <x:c r="L244" s="21" t="str">
        <x:v>SRC-009: scripts/settings/equipment/weapon_templates/</x:v>
      </x:c>
      <x:c r="M244" s="21" t="str">
        <x:v>Author against the final supported weapon roster; reuse only after in-game grip and silhouette validation.</x:v>
      </x:c>
    </x:row>
    <x:row r="245" ht="46" customHeight="1">
      <x:c r="A245" s="24" t="str">
        <x:v>ANIM-241</x:v>
      </x:c>
      <x:c r="B245" s="21" t="str">
        <x:v>Weapon combat</x:v>
      </x:c>
      <x:c r="C245" s="21" t="str">
        <x:v>Shielded melee: Equip / draw</x:v>
      </x:c>
      <x:c r="D245" s="21" t="str">
        <x:v>First person</x:v>
      </x:c>
      <x:c r="E245" s="21" t="str">
        <x:v>Default</x:v>
      </x:c>
      <x:c r="F245" s="27" t="str">
        <x:v>Conditional</x:v>
      </x:c>
      <x:c r="G245" s="27" t="str">
        <x:v>P1</x:v>
      </x:c>
      <x:c r="H245" s="27" t="str">
        <x:v>Not Started</x:v>
      </x:c>
      <x:c r="I245" s="27" t="str">
        <x:v>Janfon</x:v>
      </x:c>
      <x:c r="J245" s="21" t="str">
        <x:v>FBX clip on canonical Pusfume rig</x:v>
      </x:c>
      <x:c r="K245" s="21" t="str">
        <x:v>Animation event resolves, weapon grip remains aligned, and blend/recovery timing matches the selected weapon template.</x:v>
      </x:c>
      <x:c r="L245" s="21" t="str">
        <x:v>SRC-009: scripts/settings/equipment/weapon_templates/</x:v>
      </x:c>
      <x:c r="M245" s="21" t="str">
        <x:v>Author against the final supported weapon roster; reuse only after in-game grip and silhouette validation.</x:v>
      </x:c>
    </x:row>
    <x:row r="246" ht="46" customHeight="1">
      <x:c r="A246" s="24" t="str">
        <x:v>ANIM-242</x:v>
      </x:c>
      <x:c r="B246" s="21" t="str">
        <x:v>Weapon combat</x:v>
      </x:c>
      <x:c r="C246" s="21" t="str">
        <x:v>Shielded melee: Unequip / stow</x:v>
      </x:c>
      <x:c r="D246" s="21" t="str">
        <x:v>Third person</x:v>
      </x:c>
      <x:c r="E246" s="21" t="str">
        <x:v>Default</x:v>
      </x:c>
      <x:c r="F246" s="27" t="str">
        <x:v>Conditional</x:v>
      </x:c>
      <x:c r="G246" s="27" t="str">
        <x:v>P1</x:v>
      </x:c>
      <x:c r="H246" s="27" t="str">
        <x:v>Not Started</x:v>
      </x:c>
      <x:c r="I246" s="27" t="str">
        <x:v>Janfon</x:v>
      </x:c>
      <x:c r="J246" s="21" t="str">
        <x:v>FBX clip on canonical Pusfume rig</x:v>
      </x:c>
      <x:c r="K246" s="21" t="str">
        <x:v>Animation event resolves, weapon grip remains aligned, and blend/recovery timing matches the selected weapon template.</x:v>
      </x:c>
      <x:c r="L246" s="21" t="str">
        <x:v>SRC-009: scripts/settings/equipment/weapon_templates/</x:v>
      </x:c>
      <x:c r="M246" s="21" t="str">
        <x:v>Author against the final supported weapon roster; reuse only after in-game grip and silhouette validation.</x:v>
      </x:c>
    </x:row>
    <x:row r="247" ht="46" customHeight="1">
      <x:c r="A247" s="24" t="str">
        <x:v>ANIM-243</x:v>
      </x:c>
      <x:c r="B247" s="21" t="str">
        <x:v>Weapon combat</x:v>
      </x:c>
      <x:c r="C247" s="21" t="str">
        <x:v>Shielded melee: Unequip / stow</x:v>
      </x:c>
      <x:c r="D247" s="21" t="str">
        <x:v>First person</x:v>
      </x:c>
      <x:c r="E247" s="21" t="str">
        <x:v>Default</x:v>
      </x:c>
      <x:c r="F247" s="27" t="str">
        <x:v>Conditional</x:v>
      </x:c>
      <x:c r="G247" s="27" t="str">
        <x:v>P1</x:v>
      </x:c>
      <x:c r="H247" s="27" t="str">
        <x:v>Not Started</x:v>
      </x:c>
      <x:c r="I247" s="27" t="str">
        <x:v>Janfon</x:v>
      </x:c>
      <x:c r="J247" s="21" t="str">
        <x:v>FBX clip on canonical Pusfume rig</x:v>
      </x:c>
      <x:c r="K247" s="21" t="str">
        <x:v>Animation event resolves, weapon grip remains aligned, and blend/recovery timing matches the selected weapon template.</x:v>
      </x:c>
      <x:c r="L247" s="21" t="str">
        <x:v>SRC-009: scripts/settings/equipment/weapon_templates/</x:v>
      </x:c>
      <x:c r="M247" s="21" t="str">
        <x:v>Author against the final supported weapon roster; reuse only after in-game grip and silhouette validation.</x:v>
      </x:c>
    </x:row>
    <x:row r="248" ht="46" customHeight="1">
      <x:c r="A248" s="24" t="str">
        <x:v>ANIM-244</x:v>
      </x:c>
      <x:c r="B248" s="21" t="str">
        <x:v>Weapon combat</x:v>
      </x:c>
      <x:c r="C248" s="21" t="str">
        <x:v>Shielded melee: Weapon idle</x:v>
      </x:c>
      <x:c r="D248" s="21" t="str">
        <x:v>Third person</x:v>
      </x:c>
      <x:c r="E248" s="21" t="str">
        <x:v>Default</x:v>
      </x:c>
      <x:c r="F248" s="27" t="str">
        <x:v>Conditional</x:v>
      </x:c>
      <x:c r="G248" s="27" t="str">
        <x:v>P0</x:v>
      </x:c>
      <x:c r="H248" s="27" t="str">
        <x:v>Not Started</x:v>
      </x:c>
      <x:c r="I248" s="27" t="str">
        <x:v>Janfon</x:v>
      </x:c>
      <x:c r="J248" s="21" t="str">
        <x:v>FBX clip on canonical Pusfume rig</x:v>
      </x:c>
      <x:c r="K248" s="21" t="str">
        <x:v>Animation event resolves, weapon grip remains aligned, and blend/recovery timing matches the selected weapon template.</x:v>
      </x:c>
      <x:c r="L248" s="21" t="str">
        <x:v>SRC-009: scripts/settings/equipment/weapon_templates/</x:v>
      </x:c>
      <x:c r="M248" s="21" t="str">
        <x:v>Author against the final supported weapon roster; reuse only after in-game grip and silhouette validation.</x:v>
      </x:c>
    </x:row>
    <x:row r="249" ht="46" customHeight="1">
      <x:c r="A249" s="24" t="str">
        <x:v>ANIM-245</x:v>
      </x:c>
      <x:c r="B249" s="21" t="str">
        <x:v>Weapon combat</x:v>
      </x:c>
      <x:c r="C249" s="21" t="str">
        <x:v>Shielded melee: Weapon idle</x:v>
      </x:c>
      <x:c r="D249" s="21" t="str">
        <x:v>First person</x:v>
      </x:c>
      <x:c r="E249" s="21" t="str">
        <x:v>Default</x:v>
      </x:c>
      <x:c r="F249" s="27" t="str">
        <x:v>Conditional</x:v>
      </x:c>
      <x:c r="G249" s="27" t="str">
        <x:v>P0</x:v>
      </x:c>
      <x:c r="H249" s="27" t="str">
        <x:v>Not Started</x:v>
      </x:c>
      <x:c r="I249" s="27" t="str">
        <x:v>Janfon</x:v>
      </x:c>
      <x:c r="J249" s="21" t="str">
        <x:v>FBX clip on canonical Pusfume rig</x:v>
      </x:c>
      <x:c r="K249" s="21" t="str">
        <x:v>Animation event resolves, weapon grip remains aligned, and blend/recovery timing matches the selected weapon template.</x:v>
      </x:c>
      <x:c r="L249" s="21" t="str">
        <x:v>SRC-009: scripts/settings/equipment/weapon_templates/</x:v>
      </x:c>
      <x:c r="M249" s="21" t="str">
        <x:v>Author against the final supported weapon roster; reuse only after in-game grip and silhouette validation.</x:v>
      </x:c>
    </x:row>
    <x:row r="250" ht="46" customHeight="1">
      <x:c r="A250" s="24" t="str">
        <x:v>ANIM-246</x:v>
      </x:c>
      <x:c r="B250" s="21" t="str">
        <x:v>Weapon combat</x:v>
      </x:c>
      <x:c r="C250" s="21" t="str">
        <x:v>Shielded melee: Light attack</x:v>
      </x:c>
      <x:c r="D250" s="21" t="str">
        <x:v>Third person</x:v>
      </x:c>
      <x:c r="E250" s="21" t="str">
        <x:v>Left-to-right</x:v>
      </x:c>
      <x:c r="F250" s="27" t="str">
        <x:v>Conditional</x:v>
      </x:c>
      <x:c r="G250" s="27" t="str">
        <x:v>P0</x:v>
      </x:c>
      <x:c r="H250" s="27" t="str">
        <x:v>Not Started</x:v>
      </x:c>
      <x:c r="I250" s="27" t="str">
        <x:v>Janfon</x:v>
      </x:c>
      <x:c r="J250" s="21" t="str">
        <x:v>FBX clip on canonical Pusfume rig</x:v>
      </x:c>
      <x:c r="K250" s="21" t="str">
        <x:v>Animation event resolves, weapon grip remains aligned, and blend/recovery timing matches the selected weapon template.</x:v>
      </x:c>
      <x:c r="L250" s="21" t="str">
        <x:v>SRC-009: scripts/settings/equipment/weapon_templates/</x:v>
      </x:c>
      <x:c r="M250" s="21" t="str">
        <x:v>Author against the final supported weapon roster; reuse only after in-game grip and silhouette validation.</x:v>
      </x:c>
    </x:row>
    <x:row r="251" ht="46" customHeight="1">
      <x:c r="A251" s="24" t="str">
        <x:v>ANIM-247</x:v>
      </x:c>
      <x:c r="B251" s="21" t="str">
        <x:v>Weapon combat</x:v>
      </x:c>
      <x:c r="C251" s="21" t="str">
        <x:v>Shielded melee: Light attack</x:v>
      </x:c>
      <x:c r="D251" s="21" t="str">
        <x:v>First person</x:v>
      </x:c>
      <x:c r="E251" s="21" t="str">
        <x:v>Left-to-right</x:v>
      </x:c>
      <x:c r="F251" s="27" t="str">
        <x:v>Conditional</x:v>
      </x:c>
      <x:c r="G251" s="27" t="str">
        <x:v>P0</x:v>
      </x:c>
      <x:c r="H251" s="27" t="str">
        <x:v>Not Started</x:v>
      </x:c>
      <x:c r="I251" s="27" t="str">
        <x:v>Janfon</x:v>
      </x:c>
      <x:c r="J251" s="21" t="str">
        <x:v>FBX clip on canonical Pusfume rig</x:v>
      </x:c>
      <x:c r="K251" s="21" t="str">
        <x:v>Animation event resolves, weapon grip remains aligned, and blend/recovery timing matches the selected weapon template.</x:v>
      </x:c>
      <x:c r="L251" s="21" t="str">
        <x:v>SRC-009: scripts/settings/equipment/weapon_templates/</x:v>
      </x:c>
      <x:c r="M251" s="21" t="str">
        <x:v>Author against the final supported weapon roster; reuse only after in-game grip and silhouette validation.</x:v>
      </x:c>
    </x:row>
    <x:row r="252" ht="46" customHeight="1">
      <x:c r="A252" s="24" t="str">
        <x:v>ANIM-248</x:v>
      </x:c>
      <x:c r="B252" s="21" t="str">
        <x:v>Weapon combat</x:v>
      </x:c>
      <x:c r="C252" s="21" t="str">
        <x:v>Shielded melee: Light attack</x:v>
      </x:c>
      <x:c r="D252" s="21" t="str">
        <x:v>Third person</x:v>
      </x:c>
      <x:c r="E252" s="21" t="str">
        <x:v>Right-to-left</x:v>
      </x:c>
      <x:c r="F252" s="27" t="str">
        <x:v>Conditional</x:v>
      </x:c>
      <x:c r="G252" s="27" t="str">
        <x:v>P0</x:v>
      </x:c>
      <x:c r="H252" s="27" t="str">
        <x:v>Not Started</x:v>
      </x:c>
      <x:c r="I252" s="27" t="str">
        <x:v>Janfon</x:v>
      </x:c>
      <x:c r="J252" s="21" t="str">
        <x:v>FBX clip on canonical Pusfume rig</x:v>
      </x:c>
      <x:c r="K252" s="21" t="str">
        <x:v>Animation event resolves, weapon grip remains aligned, and blend/recovery timing matches the selected weapon template.</x:v>
      </x:c>
      <x:c r="L252" s="21" t="str">
        <x:v>SRC-009: scripts/settings/equipment/weapon_templates/</x:v>
      </x:c>
      <x:c r="M252" s="21" t="str">
        <x:v>Author against the final supported weapon roster; reuse only after in-game grip and silhouette validation.</x:v>
      </x:c>
    </x:row>
    <x:row r="253" ht="46" customHeight="1">
      <x:c r="A253" s="24" t="str">
        <x:v>ANIM-249</x:v>
      </x:c>
      <x:c r="B253" s="21" t="str">
        <x:v>Weapon combat</x:v>
      </x:c>
      <x:c r="C253" s="21" t="str">
        <x:v>Shielded melee: Light attack</x:v>
      </x:c>
      <x:c r="D253" s="21" t="str">
        <x:v>First person</x:v>
      </x:c>
      <x:c r="E253" s="21" t="str">
        <x:v>Right-to-left</x:v>
      </x:c>
      <x:c r="F253" s="27" t="str">
        <x:v>Conditional</x:v>
      </x:c>
      <x:c r="G253" s="27" t="str">
        <x:v>P0</x:v>
      </x:c>
      <x:c r="H253" s="27" t="str">
        <x:v>Not Started</x:v>
      </x:c>
      <x:c r="I253" s="27" t="str">
        <x:v>Janfon</x:v>
      </x:c>
      <x:c r="J253" s="21" t="str">
        <x:v>FBX clip on canonical Pusfume rig</x:v>
      </x:c>
      <x:c r="K253" s="21" t="str">
        <x:v>Animation event resolves, weapon grip remains aligned, and blend/recovery timing matches the selected weapon template.</x:v>
      </x:c>
      <x:c r="L253" s="21" t="str">
        <x:v>SRC-009: scripts/settings/equipment/weapon_templates/</x:v>
      </x:c>
      <x:c r="M253" s="21" t="str">
        <x:v>Author against the final supported weapon roster; reuse only after in-game grip and silhouette validation.</x:v>
      </x:c>
    </x:row>
    <x:row r="254" ht="46" customHeight="1">
      <x:c r="A254" s="24" t="str">
        <x:v>ANIM-250</x:v>
      </x:c>
      <x:c r="B254" s="21" t="str">
        <x:v>Weapon combat</x:v>
      </x:c>
      <x:c r="C254" s="21" t="str">
        <x:v>Shielded melee: Light attack</x:v>
      </x:c>
      <x:c r="D254" s="21" t="str">
        <x:v>Third person</x:v>
      </x:c>
      <x:c r="E254" s="21" t="str">
        <x:v>Overhead</x:v>
      </x:c>
      <x:c r="F254" s="27" t="str">
        <x:v>Conditional</x:v>
      </x:c>
      <x:c r="G254" s="27" t="str">
        <x:v>P0</x:v>
      </x:c>
      <x:c r="H254" s="27" t="str">
        <x:v>Not Started</x:v>
      </x:c>
      <x:c r="I254" s="27" t="str">
        <x:v>Janfon</x:v>
      </x:c>
      <x:c r="J254" s="21" t="str">
        <x:v>FBX clip on canonical Pusfume rig</x:v>
      </x:c>
      <x:c r="K254" s="21" t="str">
        <x:v>Animation event resolves, weapon grip remains aligned, and blend/recovery timing matches the selected weapon template.</x:v>
      </x:c>
      <x:c r="L254" s="21" t="str">
        <x:v>SRC-009: scripts/settings/equipment/weapon_templates/</x:v>
      </x:c>
      <x:c r="M254" s="21" t="str">
        <x:v>Author against the final supported weapon roster; reuse only after in-game grip and silhouette validation.</x:v>
      </x:c>
    </x:row>
    <x:row r="255" ht="46" customHeight="1">
      <x:c r="A255" s="24" t="str">
        <x:v>ANIM-251</x:v>
      </x:c>
      <x:c r="B255" s="21" t="str">
        <x:v>Weapon combat</x:v>
      </x:c>
      <x:c r="C255" s="21" t="str">
        <x:v>Shielded melee: Light attack</x:v>
      </x:c>
      <x:c r="D255" s="21" t="str">
        <x:v>First person</x:v>
      </x:c>
      <x:c r="E255" s="21" t="str">
        <x:v>Overhead</x:v>
      </x:c>
      <x:c r="F255" s="27" t="str">
        <x:v>Conditional</x:v>
      </x:c>
      <x:c r="G255" s="27" t="str">
        <x:v>P0</x:v>
      </x:c>
      <x:c r="H255" s="27" t="str">
        <x:v>Not Started</x:v>
      </x:c>
      <x:c r="I255" s="27" t="str">
        <x:v>Janfon</x:v>
      </x:c>
      <x:c r="J255" s="21" t="str">
        <x:v>FBX clip on canonical Pusfume rig</x:v>
      </x:c>
      <x:c r="K255" s="21" t="str">
        <x:v>Animation event resolves, weapon grip remains aligned, and blend/recovery timing matches the selected weapon template.</x:v>
      </x:c>
      <x:c r="L255" s="21" t="str">
        <x:v>SRC-009: scripts/settings/equipment/weapon_templates/</x:v>
      </x:c>
      <x:c r="M255" s="21" t="str">
        <x:v>Author against the final supported weapon roster; reuse only after in-game grip and silhouette validation.</x:v>
      </x:c>
    </x:row>
    <x:row r="256" ht="46" customHeight="1">
      <x:c r="A256" s="24" t="str">
        <x:v>ANIM-252</x:v>
      </x:c>
      <x:c r="B256" s="21" t="str">
        <x:v>Weapon combat</x:v>
      </x:c>
      <x:c r="C256" s="21" t="str">
        <x:v>Shielded melee: Light attack</x:v>
      </x:c>
      <x:c r="D256" s="21" t="str">
        <x:v>Third person</x:v>
      </x:c>
      <x:c r="E256" s="21" t="str">
        <x:v>Stab</x:v>
      </x:c>
      <x:c r="F256" s="27" t="str">
        <x:v>Conditional</x:v>
      </x:c>
      <x:c r="G256" s="27" t="str">
        <x:v>P0</x:v>
      </x:c>
      <x:c r="H256" s="27" t="str">
        <x:v>Not Started</x:v>
      </x:c>
      <x:c r="I256" s="27" t="str">
        <x:v>Janfon</x:v>
      </x:c>
      <x:c r="J256" s="21" t="str">
        <x:v>FBX clip on canonical Pusfume rig</x:v>
      </x:c>
      <x:c r="K256" s="21" t="str">
        <x:v>Animation event resolves, weapon grip remains aligned, and blend/recovery timing matches the selected weapon template.</x:v>
      </x:c>
      <x:c r="L256" s="21" t="str">
        <x:v>SRC-009: scripts/settings/equipment/weapon_templates/</x:v>
      </x:c>
      <x:c r="M256" s="21" t="str">
        <x:v>Author against the final supported weapon roster; reuse only after in-game grip and silhouette validation.</x:v>
      </x:c>
    </x:row>
    <x:row r="257" ht="46" customHeight="1">
      <x:c r="A257" s="24" t="str">
        <x:v>ANIM-253</x:v>
      </x:c>
      <x:c r="B257" s="21" t="str">
        <x:v>Weapon combat</x:v>
      </x:c>
      <x:c r="C257" s="21" t="str">
        <x:v>Shielded melee: Light attack</x:v>
      </x:c>
      <x:c r="D257" s="21" t="str">
        <x:v>First person</x:v>
      </x:c>
      <x:c r="E257" s="21" t="str">
        <x:v>Stab</x:v>
      </x:c>
      <x:c r="F257" s="27" t="str">
        <x:v>Conditional</x:v>
      </x:c>
      <x:c r="G257" s="27" t="str">
        <x:v>P0</x:v>
      </x:c>
      <x:c r="H257" s="27" t="str">
        <x:v>Not Started</x:v>
      </x:c>
      <x:c r="I257" s="27" t="str">
        <x:v>Janfon</x:v>
      </x:c>
      <x:c r="J257" s="21" t="str">
        <x:v>FBX clip on canonical Pusfume rig</x:v>
      </x:c>
      <x:c r="K257" s="21" t="str">
        <x:v>Animation event resolves, weapon grip remains aligned, and blend/recovery timing matches the selected weapon template.</x:v>
      </x:c>
      <x:c r="L257" s="21" t="str">
        <x:v>SRC-009: scripts/settings/equipment/weapon_templates/</x:v>
      </x:c>
      <x:c r="M257" s="21" t="str">
        <x:v>Author against the final supported weapon roster; reuse only after in-game grip and silhouette validation.</x:v>
      </x:c>
    </x:row>
    <x:row r="258" ht="46" customHeight="1">
      <x:c r="A258" s="24" t="str">
        <x:v>ANIM-254</x:v>
      </x:c>
      <x:c r="B258" s="21" t="str">
        <x:v>Weapon combat</x:v>
      </x:c>
      <x:c r="C258" s="21" t="str">
        <x:v>Shielded melee: Heavy charge pose</x:v>
      </x:c>
      <x:c r="D258" s="21" t="str">
        <x:v>Third person</x:v>
      </x:c>
      <x:c r="E258" s="21" t="str">
        <x:v>Left</x:v>
      </x:c>
      <x:c r="F258" s="27" t="str">
        <x:v>Conditional</x:v>
      </x:c>
      <x:c r="G258" s="27" t="str">
        <x:v>P1</x:v>
      </x:c>
      <x:c r="H258" s="27" t="str">
        <x:v>Not Started</x:v>
      </x:c>
      <x:c r="I258" s="27" t="str">
        <x:v>Janfon</x:v>
      </x:c>
      <x:c r="J258" s="21" t="str">
        <x:v>FBX clip on canonical Pusfume rig</x:v>
      </x:c>
      <x:c r="K258" s="21" t="str">
        <x:v>Animation event resolves, weapon grip remains aligned, and blend/recovery timing matches the selected weapon template.</x:v>
      </x:c>
      <x:c r="L258" s="21" t="str">
        <x:v>SRC-009: scripts/settings/equipment/weapon_templates/</x:v>
      </x:c>
      <x:c r="M258" s="21" t="str">
        <x:v>Author against the final supported weapon roster; reuse only after in-game grip and silhouette validation.</x:v>
      </x:c>
    </x:row>
    <x:row r="259" ht="46" customHeight="1">
      <x:c r="A259" s="24" t="str">
        <x:v>ANIM-255</x:v>
      </x:c>
      <x:c r="B259" s="21" t="str">
        <x:v>Weapon combat</x:v>
      </x:c>
      <x:c r="C259" s="21" t="str">
        <x:v>Shielded melee: Heavy charge pose</x:v>
      </x:c>
      <x:c r="D259" s="21" t="str">
        <x:v>First person</x:v>
      </x:c>
      <x:c r="E259" s="21" t="str">
        <x:v>Left</x:v>
      </x:c>
      <x:c r="F259" s="27" t="str">
        <x:v>Conditional</x:v>
      </x:c>
      <x:c r="G259" s="27" t="str">
        <x:v>P1</x:v>
      </x:c>
      <x:c r="H259" s="27" t="str">
        <x:v>Not Started</x:v>
      </x:c>
      <x:c r="I259" s="27" t="str">
        <x:v>Janfon</x:v>
      </x:c>
      <x:c r="J259" s="21" t="str">
        <x:v>FBX clip on canonical Pusfume rig</x:v>
      </x:c>
      <x:c r="K259" s="21" t="str">
        <x:v>Animation event resolves, weapon grip remains aligned, and blend/recovery timing matches the selected weapon template.</x:v>
      </x:c>
      <x:c r="L259" s="21" t="str">
        <x:v>SRC-009: scripts/settings/equipment/weapon_templates/</x:v>
      </x:c>
      <x:c r="M259" s="21" t="str">
        <x:v>Author against the final supported weapon roster; reuse only after in-game grip and silhouette validation.</x:v>
      </x:c>
    </x:row>
    <x:row r="260" ht="46" customHeight="1">
      <x:c r="A260" s="24" t="str">
        <x:v>ANIM-256</x:v>
      </x:c>
      <x:c r="B260" s="21" t="str">
        <x:v>Weapon combat</x:v>
      </x:c>
      <x:c r="C260" s="21" t="str">
        <x:v>Shielded melee: Heavy charge pose</x:v>
      </x:c>
      <x:c r="D260" s="21" t="str">
        <x:v>Third person</x:v>
      </x:c>
      <x:c r="E260" s="21" t="str">
        <x:v>Right</x:v>
      </x:c>
      <x:c r="F260" s="27" t="str">
        <x:v>Conditional</x:v>
      </x:c>
      <x:c r="G260" s="27" t="str">
        <x:v>P1</x:v>
      </x:c>
      <x:c r="H260" s="27" t="str">
        <x:v>Not Started</x:v>
      </x:c>
      <x:c r="I260" s="27" t="str">
        <x:v>Janfon</x:v>
      </x:c>
      <x:c r="J260" s="21" t="str">
        <x:v>FBX clip on canonical Pusfume rig</x:v>
      </x:c>
      <x:c r="K260" s="21" t="str">
        <x:v>Animation event resolves, weapon grip remains aligned, and blend/recovery timing matches the selected weapon template.</x:v>
      </x:c>
      <x:c r="L260" s="21" t="str">
        <x:v>SRC-009: scripts/settings/equipment/weapon_templates/</x:v>
      </x:c>
      <x:c r="M260" s="21" t="str">
        <x:v>Author against the final supported weapon roster; reuse only after in-game grip and silhouette validation.</x:v>
      </x:c>
    </x:row>
    <x:row r="261" ht="46" customHeight="1">
      <x:c r="A261" s="24" t="str">
        <x:v>ANIM-257</x:v>
      </x:c>
      <x:c r="B261" s="21" t="str">
        <x:v>Weapon combat</x:v>
      </x:c>
      <x:c r="C261" s="21" t="str">
        <x:v>Shielded melee: Heavy charge pose</x:v>
      </x:c>
      <x:c r="D261" s="21" t="str">
        <x:v>First person</x:v>
      </x:c>
      <x:c r="E261" s="21" t="str">
        <x:v>Right</x:v>
      </x:c>
      <x:c r="F261" s="27" t="str">
        <x:v>Conditional</x:v>
      </x:c>
      <x:c r="G261" s="27" t="str">
        <x:v>P1</x:v>
      </x:c>
      <x:c r="H261" s="27" t="str">
        <x:v>Not Started</x:v>
      </x:c>
      <x:c r="I261" s="27" t="str">
        <x:v>Janfon</x:v>
      </x:c>
      <x:c r="J261" s="21" t="str">
        <x:v>FBX clip on canonical Pusfume rig</x:v>
      </x:c>
      <x:c r="K261" s="21" t="str">
        <x:v>Animation event resolves, weapon grip remains aligned, and blend/recovery timing matches the selected weapon template.</x:v>
      </x:c>
      <x:c r="L261" s="21" t="str">
        <x:v>SRC-009: scripts/settings/equipment/weapon_templates/</x:v>
      </x:c>
      <x:c r="M261" s="21" t="str">
        <x:v>Author against the final supported weapon roster; reuse only after in-game grip and silhouette validation.</x:v>
      </x:c>
    </x:row>
    <x:row r="262" ht="46" customHeight="1">
      <x:c r="A262" s="24" t="str">
        <x:v>ANIM-258</x:v>
      </x:c>
      <x:c r="B262" s="21" t="str">
        <x:v>Weapon combat</x:v>
      </x:c>
      <x:c r="C262" s="21" t="str">
        <x:v>Shielded melee: Heavy attack</x:v>
      </x:c>
      <x:c r="D262" s="21" t="str">
        <x:v>Third person</x:v>
      </x:c>
      <x:c r="E262" s="21" t="str">
        <x:v>Diagonal</x:v>
      </x:c>
      <x:c r="F262" s="27" t="str">
        <x:v>Conditional</x:v>
      </x:c>
      <x:c r="G262" s="27" t="str">
        <x:v>P0</x:v>
      </x:c>
      <x:c r="H262" s="27" t="str">
        <x:v>Not Started</x:v>
      </x:c>
      <x:c r="I262" s="27" t="str">
        <x:v>Janfon</x:v>
      </x:c>
      <x:c r="J262" s="21" t="str">
        <x:v>FBX clip on canonical Pusfume rig</x:v>
      </x:c>
      <x:c r="K262" s="21" t="str">
        <x:v>Animation event resolves, weapon grip remains aligned, and blend/recovery timing matches the selected weapon template.</x:v>
      </x:c>
      <x:c r="L262" s="21" t="str">
        <x:v>SRC-009: scripts/settings/equipment/weapon_templates/</x:v>
      </x:c>
      <x:c r="M262" s="21" t="str">
        <x:v>Author against the final supported weapon roster; reuse only after in-game grip and silhouette validation.</x:v>
      </x:c>
    </x:row>
    <x:row r="263" ht="46" customHeight="1">
      <x:c r="A263" s="24" t="str">
        <x:v>ANIM-259</x:v>
      </x:c>
      <x:c r="B263" s="21" t="str">
        <x:v>Weapon combat</x:v>
      </x:c>
      <x:c r="C263" s="21" t="str">
        <x:v>Shielded melee: Heavy attack</x:v>
      </x:c>
      <x:c r="D263" s="21" t="str">
        <x:v>First person</x:v>
      </x:c>
      <x:c r="E263" s="21" t="str">
        <x:v>Diagonal</x:v>
      </x:c>
      <x:c r="F263" s="27" t="str">
        <x:v>Conditional</x:v>
      </x:c>
      <x:c r="G263" s="27" t="str">
        <x:v>P0</x:v>
      </x:c>
      <x:c r="H263" s="27" t="str">
        <x:v>Not Started</x:v>
      </x:c>
      <x:c r="I263" s="27" t="str">
        <x:v>Janfon</x:v>
      </x:c>
      <x:c r="J263" s="21" t="str">
        <x:v>FBX clip on canonical Pusfume rig</x:v>
      </x:c>
      <x:c r="K263" s="21" t="str">
        <x:v>Animation event resolves, weapon grip remains aligned, and blend/recovery timing matches the selected weapon template.</x:v>
      </x:c>
      <x:c r="L263" s="21" t="str">
        <x:v>SRC-009: scripts/settings/equipment/weapon_templates/</x:v>
      </x:c>
      <x:c r="M263" s="21" t="str">
        <x:v>Author against the final supported weapon roster; reuse only after in-game grip and silhouette validation.</x:v>
      </x:c>
    </x:row>
    <x:row r="264" ht="46" customHeight="1">
      <x:c r="A264" s="24" t="str">
        <x:v>ANIM-260</x:v>
      </x:c>
      <x:c r="B264" s="21" t="str">
        <x:v>Weapon combat</x:v>
      </x:c>
      <x:c r="C264" s="21" t="str">
        <x:v>Shielded melee: Heavy attack</x:v>
      </x:c>
      <x:c r="D264" s="21" t="str">
        <x:v>Third person</x:v>
      </x:c>
      <x:c r="E264" s="21" t="str">
        <x:v>Overhead</x:v>
      </x:c>
      <x:c r="F264" s="27" t="str">
        <x:v>Conditional</x:v>
      </x:c>
      <x:c r="G264" s="27" t="str">
        <x:v>P0</x:v>
      </x:c>
      <x:c r="H264" s="27" t="str">
        <x:v>Not Started</x:v>
      </x:c>
      <x:c r="I264" s="27" t="str">
        <x:v>Janfon</x:v>
      </x:c>
      <x:c r="J264" s="21" t="str">
        <x:v>FBX clip on canonical Pusfume rig</x:v>
      </x:c>
      <x:c r="K264" s="21" t="str">
        <x:v>Animation event resolves, weapon grip remains aligned, and blend/recovery timing matches the selected weapon template.</x:v>
      </x:c>
      <x:c r="L264" s="21" t="str">
        <x:v>SRC-009: scripts/settings/equipment/weapon_templates/</x:v>
      </x:c>
      <x:c r="M264" s="21" t="str">
        <x:v>Author against the final supported weapon roster; reuse only after in-game grip and silhouette validation.</x:v>
      </x:c>
    </x:row>
    <x:row r="265" ht="46" customHeight="1">
      <x:c r="A265" s="24" t="str">
        <x:v>ANIM-261</x:v>
      </x:c>
      <x:c r="B265" s="21" t="str">
        <x:v>Weapon combat</x:v>
      </x:c>
      <x:c r="C265" s="21" t="str">
        <x:v>Shielded melee: Heavy attack</x:v>
      </x:c>
      <x:c r="D265" s="21" t="str">
        <x:v>First person</x:v>
      </x:c>
      <x:c r="E265" s="21" t="str">
        <x:v>Overhead</x:v>
      </x:c>
      <x:c r="F265" s="27" t="str">
        <x:v>Conditional</x:v>
      </x:c>
      <x:c r="G265" s="27" t="str">
        <x:v>P0</x:v>
      </x:c>
      <x:c r="H265" s="27" t="str">
        <x:v>Not Started</x:v>
      </x:c>
      <x:c r="I265" s="27" t="str">
        <x:v>Janfon</x:v>
      </x:c>
      <x:c r="J265" s="21" t="str">
        <x:v>FBX clip on canonical Pusfume rig</x:v>
      </x:c>
      <x:c r="K265" s="21" t="str">
        <x:v>Animation event resolves, weapon grip remains aligned, and blend/recovery timing matches the selected weapon template.</x:v>
      </x:c>
      <x:c r="L265" s="21" t="str">
        <x:v>SRC-009: scripts/settings/equipment/weapon_templates/</x:v>
      </x:c>
      <x:c r="M265" s="21" t="str">
        <x:v>Author against the final supported weapon roster; reuse only after in-game grip and silhouette validation.</x:v>
      </x:c>
    </x:row>
    <x:row r="266" ht="46" customHeight="1">
      <x:c r="A266" s="24" t="str">
        <x:v>ANIM-262</x:v>
      </x:c>
      <x:c r="B266" s="21" t="str">
        <x:v>Weapon combat</x:v>
      </x:c>
      <x:c r="C266" s="21" t="str">
        <x:v>Shielded melee: Heavy attack</x:v>
      </x:c>
      <x:c r="D266" s="21" t="str">
        <x:v>Third person</x:v>
      </x:c>
      <x:c r="E266" s="21" t="str">
        <x:v>Stab</x:v>
      </x:c>
      <x:c r="F266" s="27" t="str">
        <x:v>Conditional</x:v>
      </x:c>
      <x:c r="G266" s="27" t="str">
        <x:v>P0</x:v>
      </x:c>
      <x:c r="H266" s="27" t="str">
        <x:v>Not Started</x:v>
      </x:c>
      <x:c r="I266" s="27" t="str">
        <x:v>Janfon</x:v>
      </x:c>
      <x:c r="J266" s="21" t="str">
        <x:v>FBX clip on canonical Pusfume rig</x:v>
      </x:c>
      <x:c r="K266" s="21" t="str">
        <x:v>Animation event resolves, weapon grip remains aligned, and blend/recovery timing matches the selected weapon template.</x:v>
      </x:c>
      <x:c r="L266" s="21" t="str">
        <x:v>SRC-009: scripts/settings/equipment/weapon_templates/</x:v>
      </x:c>
      <x:c r="M266" s="21" t="str">
        <x:v>Author against the final supported weapon roster; reuse only after in-game grip and silhouette validation.</x:v>
      </x:c>
    </x:row>
    <x:row r="267" ht="46" customHeight="1">
      <x:c r="A267" s="24" t="str">
        <x:v>ANIM-263</x:v>
      </x:c>
      <x:c r="B267" s="21" t="str">
        <x:v>Weapon combat</x:v>
      </x:c>
      <x:c r="C267" s="21" t="str">
        <x:v>Shielded melee: Heavy attack</x:v>
      </x:c>
      <x:c r="D267" s="21" t="str">
        <x:v>First person</x:v>
      </x:c>
      <x:c r="E267" s="21" t="str">
        <x:v>Stab</x:v>
      </x:c>
      <x:c r="F267" s="27" t="str">
        <x:v>Conditional</x:v>
      </x:c>
      <x:c r="G267" s="27" t="str">
        <x:v>P0</x:v>
      </x:c>
      <x:c r="H267" s="27" t="str">
        <x:v>Not Started</x:v>
      </x:c>
      <x:c r="I267" s="27" t="str">
        <x:v>Janfon</x:v>
      </x:c>
      <x:c r="J267" s="21" t="str">
        <x:v>FBX clip on canonical Pusfume rig</x:v>
      </x:c>
      <x:c r="K267" s="21" t="str">
        <x:v>Animation event resolves, weapon grip remains aligned, and blend/recovery timing matches the selected weapon template.</x:v>
      </x:c>
      <x:c r="L267" s="21" t="str">
        <x:v>SRC-009: scripts/settings/equipment/weapon_templates/</x:v>
      </x:c>
      <x:c r="M267" s="21" t="str">
        <x:v>Author against the final supported weapon roster; reuse only after in-game grip and silhouette validation.</x:v>
      </x:c>
    </x:row>
    <x:row r="268" ht="46" customHeight="1">
      <x:c r="A268" s="24" t="str">
        <x:v>ANIM-264</x:v>
      </x:c>
      <x:c r="B268" s="21" t="str">
        <x:v>Weapon combat</x:v>
      </x:c>
      <x:c r="C268" s="21" t="str">
        <x:v>Shielded melee: Block enter</x:v>
      </x:c>
      <x:c r="D268" s="21" t="str">
        <x:v>Third person</x:v>
      </x:c>
      <x:c r="E268" s="21" t="str">
        <x:v>Default</x:v>
      </x:c>
      <x:c r="F268" s="27" t="str">
        <x:v>Conditional</x:v>
      </x:c>
      <x:c r="G268" s="27" t="str">
        <x:v>P1</x:v>
      </x:c>
      <x:c r="H268" s="27" t="str">
        <x:v>Not Started</x:v>
      </x:c>
      <x:c r="I268" s="27" t="str">
        <x:v>Janfon</x:v>
      </x:c>
      <x:c r="J268" s="21" t="str">
        <x:v>FBX clip on canonical Pusfume rig</x:v>
      </x:c>
      <x:c r="K268" s="21" t="str">
        <x:v>Animation event resolves, weapon grip remains aligned, and blend/recovery timing matches the selected weapon template.</x:v>
      </x:c>
      <x:c r="L268" s="21" t="str">
        <x:v>SRC-009: scripts/settings/equipment/weapon_templates/</x:v>
      </x:c>
      <x:c r="M268" s="21" t="str">
        <x:v>Author against the final supported weapon roster; reuse only after in-game grip and silhouette validation.</x:v>
      </x:c>
    </x:row>
    <x:row r="269" ht="46" customHeight="1">
      <x:c r="A269" s="24" t="str">
        <x:v>ANIM-265</x:v>
      </x:c>
      <x:c r="B269" s="21" t="str">
        <x:v>Weapon combat</x:v>
      </x:c>
      <x:c r="C269" s="21" t="str">
        <x:v>Shielded melee: Block enter</x:v>
      </x:c>
      <x:c r="D269" s="21" t="str">
        <x:v>First person</x:v>
      </x:c>
      <x:c r="E269" s="21" t="str">
        <x:v>Default</x:v>
      </x:c>
      <x:c r="F269" s="27" t="str">
        <x:v>Conditional</x:v>
      </x:c>
      <x:c r="G269" s="27" t="str">
        <x:v>P1</x:v>
      </x:c>
      <x:c r="H269" s="27" t="str">
        <x:v>Not Started</x:v>
      </x:c>
      <x:c r="I269" s="27" t="str">
        <x:v>Janfon</x:v>
      </x:c>
      <x:c r="J269" s="21" t="str">
        <x:v>FBX clip on canonical Pusfume rig</x:v>
      </x:c>
      <x:c r="K269" s="21" t="str">
        <x:v>Animation event resolves, weapon grip remains aligned, and blend/recovery timing matches the selected weapon template.</x:v>
      </x:c>
      <x:c r="L269" s="21" t="str">
        <x:v>SRC-009: scripts/settings/equipment/weapon_templates/</x:v>
      </x:c>
      <x:c r="M269" s="21" t="str">
        <x:v>Author against the final supported weapon roster; reuse only after in-game grip and silhouette validation.</x:v>
      </x:c>
    </x:row>
    <x:row r="270" ht="46" customHeight="1">
      <x:c r="A270" s="24" t="str">
        <x:v>ANIM-266</x:v>
      </x:c>
      <x:c r="B270" s="21" t="str">
        <x:v>Weapon combat</x:v>
      </x:c>
      <x:c r="C270" s="21" t="str">
        <x:v>Shielded melee: Block idle</x:v>
      </x:c>
      <x:c r="D270" s="21" t="str">
        <x:v>Third person</x:v>
      </x:c>
      <x:c r="E270" s="21" t="str">
        <x:v>Default</x:v>
      </x:c>
      <x:c r="F270" s="27" t="str">
        <x:v>Conditional</x:v>
      </x:c>
      <x:c r="G270" s="27" t="str">
        <x:v>P0</x:v>
      </x:c>
      <x:c r="H270" s="27" t="str">
        <x:v>Not Started</x:v>
      </x:c>
      <x:c r="I270" s="27" t="str">
        <x:v>Janfon</x:v>
      </x:c>
      <x:c r="J270" s="21" t="str">
        <x:v>FBX clip on canonical Pusfume rig</x:v>
      </x:c>
      <x:c r="K270" s="21" t="str">
        <x:v>Animation event resolves, weapon grip remains aligned, and blend/recovery timing matches the selected weapon template.</x:v>
      </x:c>
      <x:c r="L270" s="21" t="str">
        <x:v>SRC-009: scripts/settings/equipment/weapon_templates/</x:v>
      </x:c>
      <x:c r="M270" s="21" t="str">
        <x:v>Author against the final supported weapon roster; reuse only after in-game grip and silhouette validation.</x:v>
      </x:c>
    </x:row>
    <x:row r="271" ht="46" customHeight="1">
      <x:c r="A271" s="24" t="str">
        <x:v>ANIM-267</x:v>
      </x:c>
      <x:c r="B271" s="21" t="str">
        <x:v>Weapon combat</x:v>
      </x:c>
      <x:c r="C271" s="21" t="str">
        <x:v>Shielded melee: Block idle</x:v>
      </x:c>
      <x:c r="D271" s="21" t="str">
        <x:v>First person</x:v>
      </x:c>
      <x:c r="E271" s="21" t="str">
        <x:v>Default</x:v>
      </x:c>
      <x:c r="F271" s="27" t="str">
        <x:v>Conditional</x:v>
      </x:c>
      <x:c r="G271" s="27" t="str">
        <x:v>P0</x:v>
      </x:c>
      <x:c r="H271" s="27" t="str">
        <x:v>Not Started</x:v>
      </x:c>
      <x:c r="I271" s="27" t="str">
        <x:v>Janfon</x:v>
      </x:c>
      <x:c r="J271" s="21" t="str">
        <x:v>FBX clip on canonical Pusfume rig</x:v>
      </x:c>
      <x:c r="K271" s="21" t="str">
        <x:v>Animation event resolves, weapon grip remains aligned, and blend/recovery timing matches the selected weapon template.</x:v>
      </x:c>
      <x:c r="L271" s="21" t="str">
        <x:v>SRC-009: scripts/settings/equipment/weapon_templates/</x:v>
      </x:c>
      <x:c r="M271" s="21" t="str">
        <x:v>Author against the final supported weapon roster; reuse only after in-game grip and silhouette validation.</x:v>
      </x:c>
    </x:row>
    <x:row r="272" ht="46" customHeight="1">
      <x:c r="A272" s="24" t="str">
        <x:v>ANIM-268</x:v>
      </x:c>
      <x:c r="B272" s="21" t="str">
        <x:v>Weapon combat</x:v>
      </x:c>
      <x:c r="C272" s="21" t="str">
        <x:v>Shielded melee: Block hit reaction</x:v>
      </x:c>
      <x:c r="D272" s="21" t="str">
        <x:v>Third person</x:v>
      </x:c>
      <x:c r="E272" s="21" t="str">
        <x:v>Light</x:v>
      </x:c>
      <x:c r="F272" s="27" t="str">
        <x:v>Conditional</x:v>
      </x:c>
      <x:c r="G272" s="27" t="str">
        <x:v>P1</x:v>
      </x:c>
      <x:c r="H272" s="27" t="str">
        <x:v>Not Started</x:v>
      </x:c>
      <x:c r="I272" s="27" t="str">
        <x:v>Janfon</x:v>
      </x:c>
      <x:c r="J272" s="21" t="str">
        <x:v>FBX clip on canonical Pusfume rig</x:v>
      </x:c>
      <x:c r="K272" s="21" t="str">
        <x:v>Animation event resolves, weapon grip remains aligned, and blend/recovery timing matches the selected weapon template.</x:v>
      </x:c>
      <x:c r="L272" s="21" t="str">
        <x:v>SRC-009: scripts/settings/equipment/weapon_templates/</x:v>
      </x:c>
      <x:c r="M272" s="21" t="str">
        <x:v>Author against the final supported weapon roster; reuse only after in-game grip and silhouette validation.</x:v>
      </x:c>
    </x:row>
    <x:row r="273" ht="46" customHeight="1">
      <x:c r="A273" s="24" t="str">
        <x:v>ANIM-269</x:v>
      </x:c>
      <x:c r="B273" s="21" t="str">
        <x:v>Weapon combat</x:v>
      </x:c>
      <x:c r="C273" s="21" t="str">
        <x:v>Shielded melee: Block hit reaction</x:v>
      </x:c>
      <x:c r="D273" s="21" t="str">
        <x:v>First person</x:v>
      </x:c>
      <x:c r="E273" s="21" t="str">
        <x:v>Light</x:v>
      </x:c>
      <x:c r="F273" s="27" t="str">
        <x:v>Conditional</x:v>
      </x:c>
      <x:c r="G273" s="27" t="str">
        <x:v>P1</x:v>
      </x:c>
      <x:c r="H273" s="27" t="str">
        <x:v>Not Started</x:v>
      </x:c>
      <x:c r="I273" s="27" t="str">
        <x:v>Janfon</x:v>
      </x:c>
      <x:c r="J273" s="21" t="str">
        <x:v>FBX clip on canonical Pusfume rig</x:v>
      </x:c>
      <x:c r="K273" s="21" t="str">
        <x:v>Animation event resolves, weapon grip remains aligned, and blend/recovery timing matches the selected weapon template.</x:v>
      </x:c>
      <x:c r="L273" s="21" t="str">
        <x:v>SRC-009: scripts/settings/equipment/weapon_templates/</x:v>
      </x:c>
      <x:c r="M273" s="21" t="str">
        <x:v>Author against the final supported weapon roster; reuse only after in-game grip and silhouette validation.</x:v>
      </x:c>
    </x:row>
    <x:row r="274" ht="46" customHeight="1">
      <x:c r="A274" s="24" t="str">
        <x:v>ANIM-270</x:v>
      </x:c>
      <x:c r="B274" s="21" t="str">
        <x:v>Weapon combat</x:v>
      </x:c>
      <x:c r="C274" s="21" t="str">
        <x:v>Shielded melee: Block hit reaction</x:v>
      </x:c>
      <x:c r="D274" s="21" t="str">
        <x:v>Third person</x:v>
      </x:c>
      <x:c r="E274" s="21" t="str">
        <x:v>Heavy</x:v>
      </x:c>
      <x:c r="F274" s="27" t="str">
        <x:v>Conditional</x:v>
      </x:c>
      <x:c r="G274" s="27" t="str">
        <x:v>P1</x:v>
      </x:c>
      <x:c r="H274" s="27" t="str">
        <x:v>Not Started</x:v>
      </x:c>
      <x:c r="I274" s="27" t="str">
        <x:v>Janfon</x:v>
      </x:c>
      <x:c r="J274" s="21" t="str">
        <x:v>FBX clip on canonical Pusfume rig</x:v>
      </x:c>
      <x:c r="K274" s="21" t="str">
        <x:v>Animation event resolves, weapon grip remains aligned, and blend/recovery timing matches the selected weapon template.</x:v>
      </x:c>
      <x:c r="L274" s="21" t="str">
        <x:v>SRC-009: scripts/settings/equipment/weapon_templates/</x:v>
      </x:c>
      <x:c r="M274" s="21" t="str">
        <x:v>Author against the final supported weapon roster; reuse only after in-game grip and silhouette validation.</x:v>
      </x:c>
    </x:row>
    <x:row r="275" ht="46" customHeight="1">
      <x:c r="A275" s="24" t="str">
        <x:v>ANIM-271</x:v>
      </x:c>
      <x:c r="B275" s="21" t="str">
        <x:v>Weapon combat</x:v>
      </x:c>
      <x:c r="C275" s="21" t="str">
        <x:v>Shielded melee: Block hit reaction</x:v>
      </x:c>
      <x:c r="D275" s="21" t="str">
        <x:v>First person</x:v>
      </x:c>
      <x:c r="E275" s="21" t="str">
        <x:v>Heavy</x:v>
      </x:c>
      <x:c r="F275" s="27" t="str">
        <x:v>Conditional</x:v>
      </x:c>
      <x:c r="G275" s="27" t="str">
        <x:v>P1</x:v>
      </x:c>
      <x:c r="H275" s="27" t="str">
        <x:v>Not Started</x:v>
      </x:c>
      <x:c r="I275" s="27" t="str">
        <x:v>Janfon</x:v>
      </x:c>
      <x:c r="J275" s="21" t="str">
        <x:v>FBX clip on canonical Pusfume rig</x:v>
      </x:c>
      <x:c r="K275" s="21" t="str">
        <x:v>Animation event resolves, weapon grip remains aligned, and blend/recovery timing matches the selected weapon template.</x:v>
      </x:c>
      <x:c r="L275" s="21" t="str">
        <x:v>SRC-009: scripts/settings/equipment/weapon_templates/</x:v>
      </x:c>
      <x:c r="M275" s="21" t="str">
        <x:v>Author against the final supported weapon roster; reuse only after in-game grip and silhouette validation.</x:v>
      </x:c>
    </x:row>
    <x:row r="276" ht="46" customHeight="1">
      <x:c r="A276" s="24" t="str">
        <x:v>ANIM-272</x:v>
      </x:c>
      <x:c r="B276" s="21" t="str">
        <x:v>Weapon combat</x:v>
      </x:c>
      <x:c r="C276" s="21" t="str">
        <x:v>Shielded melee: Push</x:v>
      </x:c>
      <x:c r="D276" s="21" t="str">
        <x:v>Third person</x:v>
      </x:c>
      <x:c r="E276" s="21" t="str">
        <x:v>Default</x:v>
      </x:c>
      <x:c r="F276" s="27" t="str">
        <x:v>Conditional</x:v>
      </x:c>
      <x:c r="G276" s="27" t="str">
        <x:v>P1</x:v>
      </x:c>
      <x:c r="H276" s="27" t="str">
        <x:v>Not Started</x:v>
      </x:c>
      <x:c r="I276" s="27" t="str">
        <x:v>Janfon</x:v>
      </x:c>
      <x:c r="J276" s="21" t="str">
        <x:v>FBX clip on canonical Pusfume rig</x:v>
      </x:c>
      <x:c r="K276" s="21" t="str">
        <x:v>Animation event resolves, weapon grip remains aligned, and blend/recovery timing matches the selected weapon template.</x:v>
      </x:c>
      <x:c r="L276" s="21" t="str">
        <x:v>SRC-009: scripts/settings/equipment/weapon_templates/</x:v>
      </x:c>
      <x:c r="M276" s="21" t="str">
        <x:v>Author against the final supported weapon roster; reuse only after in-game grip and silhouette validation.</x:v>
      </x:c>
    </x:row>
    <x:row r="277" ht="46" customHeight="1">
      <x:c r="A277" s="24" t="str">
        <x:v>ANIM-273</x:v>
      </x:c>
      <x:c r="B277" s="21" t="str">
        <x:v>Weapon combat</x:v>
      </x:c>
      <x:c r="C277" s="21" t="str">
        <x:v>Shielded melee: Push</x:v>
      </x:c>
      <x:c r="D277" s="21" t="str">
        <x:v>First person</x:v>
      </x:c>
      <x:c r="E277" s="21" t="str">
        <x:v>Default</x:v>
      </x:c>
      <x:c r="F277" s="27" t="str">
        <x:v>Conditional</x:v>
      </x:c>
      <x:c r="G277" s="27" t="str">
        <x:v>P1</x:v>
      </x:c>
      <x:c r="H277" s="27" t="str">
        <x:v>Not Started</x:v>
      </x:c>
      <x:c r="I277" s="27" t="str">
        <x:v>Janfon</x:v>
      </x:c>
      <x:c r="J277" s="21" t="str">
        <x:v>FBX clip on canonical Pusfume rig</x:v>
      </x:c>
      <x:c r="K277" s="21" t="str">
        <x:v>Animation event resolves, weapon grip remains aligned, and blend/recovery timing matches the selected weapon template.</x:v>
      </x:c>
      <x:c r="L277" s="21" t="str">
        <x:v>SRC-009: scripts/settings/equipment/weapon_templates/</x:v>
      </x:c>
      <x:c r="M277" s="21" t="str">
        <x:v>Author against the final supported weapon roster; reuse only after in-game grip and silhouette validation.</x:v>
      </x:c>
    </x:row>
    <x:row r="278" ht="46" customHeight="1">
      <x:c r="A278" s="24" t="str">
        <x:v>ANIM-274</x:v>
      </x:c>
      <x:c r="B278" s="21" t="str">
        <x:v>Weapon combat</x:v>
      </x:c>
      <x:c r="C278" s="21" t="str">
        <x:v>Shielded melee: Push-follow-up</x:v>
      </x:c>
      <x:c r="D278" s="21" t="str">
        <x:v>Third person</x:v>
      </x:c>
      <x:c r="E278" s="21" t="str">
        <x:v>Default</x:v>
      </x:c>
      <x:c r="F278" s="27" t="str">
        <x:v>Conditional</x:v>
      </x:c>
      <x:c r="G278" s="27" t="str">
        <x:v>P1</x:v>
      </x:c>
      <x:c r="H278" s="27" t="str">
        <x:v>Not Started</x:v>
      </x:c>
      <x:c r="I278" s="27" t="str">
        <x:v>Janfon</x:v>
      </x:c>
      <x:c r="J278" s="21" t="str">
        <x:v>FBX clip on canonical Pusfume rig</x:v>
      </x:c>
      <x:c r="K278" s="21" t="str">
        <x:v>Animation event resolves, weapon grip remains aligned, and blend/recovery timing matches the selected weapon template.</x:v>
      </x:c>
      <x:c r="L278" s="21" t="str">
        <x:v>SRC-009: scripts/settings/equipment/weapon_templates/</x:v>
      </x:c>
      <x:c r="M278" s="21" t="str">
        <x:v>Author against the final supported weapon roster; reuse only after in-game grip and silhouette validation.</x:v>
      </x:c>
    </x:row>
    <x:row r="279" ht="46" customHeight="1">
      <x:c r="A279" s="24" t="str">
        <x:v>ANIM-275</x:v>
      </x:c>
      <x:c r="B279" s="21" t="str">
        <x:v>Weapon combat</x:v>
      </x:c>
      <x:c r="C279" s="21" t="str">
        <x:v>Shielded melee: Push-follow-up</x:v>
      </x:c>
      <x:c r="D279" s="21" t="str">
        <x:v>First person</x:v>
      </x:c>
      <x:c r="E279" s="21" t="str">
        <x:v>Default</x:v>
      </x:c>
      <x:c r="F279" s="27" t="str">
        <x:v>Conditional</x:v>
      </x:c>
      <x:c r="G279" s="27" t="str">
        <x:v>P1</x:v>
      </x:c>
      <x:c r="H279" s="27" t="str">
        <x:v>Not Started</x:v>
      </x:c>
      <x:c r="I279" s="27" t="str">
        <x:v>Janfon</x:v>
      </x:c>
      <x:c r="J279" s="21" t="str">
        <x:v>FBX clip on canonical Pusfume rig</x:v>
      </x:c>
      <x:c r="K279" s="21" t="str">
        <x:v>Animation event resolves, weapon grip remains aligned, and blend/recovery timing matches the selected weapon template.</x:v>
      </x:c>
      <x:c r="L279" s="21" t="str">
        <x:v>SRC-009: scripts/settings/equipment/weapon_templates/</x:v>
      </x:c>
      <x:c r="M279" s="21" t="str">
        <x:v>Author against the final supported weapon roster; reuse only after in-game grip and silhouette validation.</x:v>
      </x:c>
    </x:row>
    <x:row r="280" ht="46" customHeight="1">
      <x:c r="A280" s="24" t="str">
        <x:v>ANIM-276</x:v>
      </x:c>
      <x:c r="B280" s="21" t="str">
        <x:v>Weapon combat</x:v>
      </x:c>
      <x:c r="C280" s="21" t="str">
        <x:v>Shielded melee: Parry</x:v>
      </x:c>
      <x:c r="D280" s="21" t="str">
        <x:v>Third person</x:v>
      </x:c>
      <x:c r="E280" s="21" t="str">
        <x:v>Default</x:v>
      </x:c>
      <x:c r="F280" s="27" t="str">
        <x:v>Conditional</x:v>
      </x:c>
      <x:c r="G280" s="27" t="str">
        <x:v>P1</x:v>
      </x:c>
      <x:c r="H280" s="27" t="str">
        <x:v>Not Started</x:v>
      </x:c>
      <x:c r="I280" s="27" t="str">
        <x:v>Janfon</x:v>
      </x:c>
      <x:c r="J280" s="21" t="str">
        <x:v>FBX clip on canonical Pusfume rig</x:v>
      </x:c>
      <x:c r="K280" s="21" t="str">
        <x:v>Animation event resolves, weapon grip remains aligned, and blend/recovery timing matches the selected weapon template.</x:v>
      </x:c>
      <x:c r="L280" s="21" t="str">
        <x:v>SRC-009: scripts/settings/equipment/weapon_templates/</x:v>
      </x:c>
      <x:c r="M280" s="21" t="str">
        <x:v>Author against the final supported weapon roster; reuse only after in-game grip and silhouette validation.</x:v>
      </x:c>
    </x:row>
    <x:row r="281" ht="46" customHeight="1">
      <x:c r="A281" s="24" t="str">
        <x:v>ANIM-277</x:v>
      </x:c>
      <x:c r="B281" s="21" t="str">
        <x:v>Weapon combat</x:v>
      </x:c>
      <x:c r="C281" s="21" t="str">
        <x:v>Shielded melee: Parry</x:v>
      </x:c>
      <x:c r="D281" s="21" t="str">
        <x:v>First person</x:v>
      </x:c>
      <x:c r="E281" s="21" t="str">
        <x:v>Default</x:v>
      </x:c>
      <x:c r="F281" s="27" t="str">
        <x:v>Conditional</x:v>
      </x:c>
      <x:c r="G281" s="27" t="str">
        <x:v>P1</x:v>
      </x:c>
      <x:c r="H281" s="27" t="str">
        <x:v>Not Started</x:v>
      </x:c>
      <x:c r="I281" s="27" t="str">
        <x:v>Janfon</x:v>
      </x:c>
      <x:c r="J281" s="21" t="str">
        <x:v>FBX clip on canonical Pusfume rig</x:v>
      </x:c>
      <x:c r="K281" s="21" t="str">
        <x:v>Animation event resolves, weapon grip remains aligned, and blend/recovery timing matches the selected weapon template.</x:v>
      </x:c>
      <x:c r="L281" s="21" t="str">
        <x:v>SRC-009: scripts/settings/equipment/weapon_templates/</x:v>
      </x:c>
      <x:c r="M281" s="21" t="str">
        <x:v>Author against the final supported weapon roster; reuse only after in-game grip and silhouette validation.</x:v>
      </x:c>
    </x:row>
    <x:row r="282" ht="46" customHeight="1">
      <x:c r="A282" s="24" t="str">
        <x:v>ANIM-278</x:v>
      </x:c>
      <x:c r="B282" s="21" t="str">
        <x:v>Weapon combat</x:v>
      </x:c>
      <x:c r="C282" s="21" t="str">
        <x:v>Shielded melee: Attack cancel / recover</x:v>
      </x:c>
      <x:c r="D282" s="21" t="str">
        <x:v>Third person</x:v>
      </x:c>
      <x:c r="E282" s="21" t="str">
        <x:v>Default</x:v>
      </x:c>
      <x:c r="F282" s="27" t="str">
        <x:v>Conditional</x:v>
      </x:c>
      <x:c r="G282" s="27" t="str">
        <x:v>P1</x:v>
      </x:c>
      <x:c r="H282" s="27" t="str">
        <x:v>Not Started</x:v>
      </x:c>
      <x:c r="I282" s="27" t="str">
        <x:v>Janfon</x:v>
      </x:c>
      <x:c r="J282" s="21" t="str">
        <x:v>FBX clip on canonical Pusfume rig</x:v>
      </x:c>
      <x:c r="K282" s="21" t="str">
        <x:v>Animation event resolves, weapon grip remains aligned, and blend/recovery timing matches the selected weapon template.</x:v>
      </x:c>
      <x:c r="L282" s="21" t="str">
        <x:v>SRC-009: scripts/settings/equipment/weapon_templates/</x:v>
      </x:c>
      <x:c r="M282" s="21" t="str">
        <x:v>Author against the final supported weapon roster; reuse only after in-game grip and silhouette validation.</x:v>
      </x:c>
    </x:row>
    <x:row r="283" ht="46" customHeight="1">
      <x:c r="A283" s="24" t="str">
        <x:v>ANIM-279</x:v>
      </x:c>
      <x:c r="B283" s="21" t="str">
        <x:v>Weapon combat</x:v>
      </x:c>
      <x:c r="C283" s="21" t="str">
        <x:v>Shielded melee: Attack cancel / recover</x:v>
      </x:c>
      <x:c r="D283" s="21" t="str">
        <x:v>First person</x:v>
      </x:c>
      <x:c r="E283" s="21" t="str">
        <x:v>Default</x:v>
      </x:c>
      <x:c r="F283" s="27" t="str">
        <x:v>Conditional</x:v>
      </x:c>
      <x:c r="G283" s="27" t="str">
        <x:v>P1</x:v>
      </x:c>
      <x:c r="H283" s="27" t="str">
        <x:v>Not Started</x:v>
      </x:c>
      <x:c r="I283" s="27" t="str">
        <x:v>Janfon</x:v>
      </x:c>
      <x:c r="J283" s="21" t="str">
        <x:v>FBX clip on canonical Pusfume rig</x:v>
      </x:c>
      <x:c r="K283" s="21" t="str">
        <x:v>Animation event resolves, weapon grip remains aligned, and blend/recovery timing matches the selected weapon template.</x:v>
      </x:c>
      <x:c r="L283" s="21" t="str">
        <x:v>SRC-009: scripts/settings/equipment/weapon_templates/</x:v>
      </x:c>
      <x:c r="M283" s="21" t="str">
        <x:v>Author against the final supported weapon roster; reuse only after in-game grip and silhouette validation.</x:v>
      </x:c>
    </x:row>
    <x:row r="284" ht="46" customHeight="1">
      <x:c r="A284" s="24" t="str">
        <x:v>ANIM-280</x:v>
      </x:c>
      <x:c r="B284" s="21" t="str">
        <x:v>Weapon combat</x:v>
      </x:c>
      <x:c r="C284" s="21" t="str">
        <x:v>Bow/crossbow: Equip / draw</x:v>
      </x:c>
      <x:c r="D284" s="21" t="str">
        <x:v>Third person</x:v>
      </x:c>
      <x:c r="E284" s="21" t="str">
        <x:v>Default</x:v>
      </x:c>
      <x:c r="F284" s="27" t="str">
        <x:v>Conditional</x:v>
      </x:c>
      <x:c r="G284" s="27" t="str">
        <x:v>P2</x:v>
      </x:c>
      <x:c r="H284" s="27" t="str">
        <x:v>Not Started</x:v>
      </x:c>
      <x:c r="I284" s="27" t="str">
        <x:v>Janfon</x:v>
      </x:c>
      <x:c r="J284" s="21" t="str">
        <x:v>FBX clip on canonical Pusfume rig</x:v>
      </x:c>
      <x:c r="K284" s="21" t="str">
        <x:v>Sight/hand alignment remains usable in first person; third-person recoil and reload communicate state to teammates.</x:v>
      </x:c>
      <x:c r="L284" s="21" t="str">
        <x:v>SRC-009: scripts/settings/equipment/weapon_templates/</x:v>
      </x:c>
      <x:c r="M284" s="21" t="str"/>
    </x:row>
    <x:row r="285" ht="46" customHeight="1">
      <x:c r="A285" s="24" t="str">
        <x:v>ANIM-281</x:v>
      </x:c>
      <x:c r="B285" s="21" t="str">
        <x:v>Weapon combat</x:v>
      </x:c>
      <x:c r="C285" s="21" t="str">
        <x:v>Bow/crossbow: Equip / draw</x:v>
      </x:c>
      <x:c r="D285" s="21" t="str">
        <x:v>First person</x:v>
      </x:c>
      <x:c r="E285" s="21" t="str">
        <x:v>Default</x:v>
      </x:c>
      <x:c r="F285" s="27" t="str">
        <x:v>Conditional</x:v>
      </x:c>
      <x:c r="G285" s="27" t="str">
        <x:v>P2</x:v>
      </x:c>
      <x:c r="H285" s="27" t="str">
        <x:v>Not Started</x:v>
      </x:c>
      <x:c r="I285" s="27" t="str">
        <x:v>Janfon</x:v>
      </x:c>
      <x:c r="J285" s="21" t="str">
        <x:v>FBX clip on canonical Pusfume rig</x:v>
      </x:c>
      <x:c r="K285" s="21" t="str">
        <x:v>Sight/hand alignment remains usable in first person; third-person recoil and reload communicate state to teammates.</x:v>
      </x:c>
      <x:c r="L285" s="21" t="str">
        <x:v>SRC-009: scripts/settings/equipment/weapon_templates/</x:v>
      </x:c>
      <x:c r="M285" s="21" t="str"/>
    </x:row>
    <x:row r="286" ht="46" customHeight="1">
      <x:c r="A286" s="24" t="str">
        <x:v>ANIM-282</x:v>
      </x:c>
      <x:c r="B286" s="21" t="str">
        <x:v>Weapon combat</x:v>
      </x:c>
      <x:c r="C286" s="21" t="str">
        <x:v>Bow/crossbow: Weapon idle</x:v>
      </x:c>
      <x:c r="D286" s="21" t="str">
        <x:v>Third person</x:v>
      </x:c>
      <x:c r="E286" s="21" t="str">
        <x:v>Default</x:v>
      </x:c>
      <x:c r="F286" s="27" t="str">
        <x:v>Conditional</x:v>
      </x:c>
      <x:c r="G286" s="27" t="str">
        <x:v>P1</x:v>
      </x:c>
      <x:c r="H286" s="27" t="str">
        <x:v>Not Started</x:v>
      </x:c>
      <x:c r="I286" s="27" t="str">
        <x:v>Janfon</x:v>
      </x:c>
      <x:c r="J286" s="21" t="str">
        <x:v>FBX clip on canonical Pusfume rig</x:v>
      </x:c>
      <x:c r="K286" s="21" t="str">
        <x:v>Sight/hand alignment remains usable in first person; third-person recoil and reload communicate state to teammates.</x:v>
      </x:c>
      <x:c r="L286" s="21" t="str">
        <x:v>SRC-009: scripts/settings/equipment/weapon_templates/</x:v>
      </x:c>
      <x:c r="M286" s="21" t="str"/>
    </x:row>
    <x:row r="287" ht="46" customHeight="1">
      <x:c r="A287" s="24" t="str">
        <x:v>ANIM-283</x:v>
      </x:c>
      <x:c r="B287" s="21" t="str">
        <x:v>Weapon combat</x:v>
      </x:c>
      <x:c r="C287" s="21" t="str">
        <x:v>Bow/crossbow: Weapon idle</x:v>
      </x:c>
      <x:c r="D287" s="21" t="str">
        <x:v>First person</x:v>
      </x:c>
      <x:c r="E287" s="21" t="str">
        <x:v>Default</x:v>
      </x:c>
      <x:c r="F287" s="27" t="str">
        <x:v>Conditional</x:v>
      </x:c>
      <x:c r="G287" s="27" t="str">
        <x:v>P1</x:v>
      </x:c>
      <x:c r="H287" s="27" t="str">
        <x:v>Not Started</x:v>
      </x:c>
      <x:c r="I287" s="27" t="str">
        <x:v>Janfon</x:v>
      </x:c>
      <x:c r="J287" s="21" t="str">
        <x:v>FBX clip on canonical Pusfume rig</x:v>
      </x:c>
      <x:c r="K287" s="21" t="str">
        <x:v>Sight/hand alignment remains usable in first person; third-person recoil and reload communicate state to teammates.</x:v>
      </x:c>
      <x:c r="L287" s="21" t="str">
        <x:v>SRC-009: scripts/settings/equipment/weapon_templates/</x:v>
      </x:c>
      <x:c r="M287" s="21" t="str"/>
    </x:row>
    <x:row r="288" ht="46" customHeight="1">
      <x:c r="A288" s="24" t="str">
        <x:v>ANIM-284</x:v>
      </x:c>
      <x:c r="B288" s="21" t="str">
        <x:v>Weapon combat</x:v>
      </x:c>
      <x:c r="C288" s="21" t="str">
        <x:v>Bow/crossbow: Aim enter</x:v>
      </x:c>
      <x:c r="D288" s="21" t="str">
        <x:v>Third person</x:v>
      </x:c>
      <x:c r="E288" s="21" t="str">
        <x:v>Default</x:v>
      </x:c>
      <x:c r="F288" s="27" t="str">
        <x:v>Conditional</x:v>
      </x:c>
      <x:c r="G288" s="27" t="str">
        <x:v>P2</x:v>
      </x:c>
      <x:c r="H288" s="27" t="str">
        <x:v>Not Started</x:v>
      </x:c>
      <x:c r="I288" s="27" t="str">
        <x:v>Janfon</x:v>
      </x:c>
      <x:c r="J288" s="21" t="str">
        <x:v>FBX clip on canonical Pusfume rig</x:v>
      </x:c>
      <x:c r="K288" s="21" t="str">
        <x:v>Sight/hand alignment remains usable in first person; third-person recoil and reload communicate state to teammates.</x:v>
      </x:c>
      <x:c r="L288" s="21" t="str">
        <x:v>SRC-009: scripts/settings/equipment/weapon_templates/</x:v>
      </x:c>
      <x:c r="M288" s="21" t="str"/>
    </x:row>
    <x:row r="289" ht="46" customHeight="1">
      <x:c r="A289" s="24" t="str">
        <x:v>ANIM-285</x:v>
      </x:c>
      <x:c r="B289" s="21" t="str">
        <x:v>Weapon combat</x:v>
      </x:c>
      <x:c r="C289" s="21" t="str">
        <x:v>Bow/crossbow: Aim enter</x:v>
      </x:c>
      <x:c r="D289" s="21" t="str">
        <x:v>First person</x:v>
      </x:c>
      <x:c r="E289" s="21" t="str">
        <x:v>Default</x:v>
      </x:c>
      <x:c r="F289" s="27" t="str">
        <x:v>Conditional</x:v>
      </x:c>
      <x:c r="G289" s="27" t="str">
        <x:v>P2</x:v>
      </x:c>
      <x:c r="H289" s="27" t="str">
        <x:v>Not Started</x:v>
      </x:c>
      <x:c r="I289" s="27" t="str">
        <x:v>Janfon</x:v>
      </x:c>
      <x:c r="J289" s="21" t="str">
        <x:v>FBX clip on canonical Pusfume rig</x:v>
      </x:c>
      <x:c r="K289" s="21" t="str">
        <x:v>Sight/hand alignment remains usable in first person; third-person recoil and reload communicate state to teammates.</x:v>
      </x:c>
      <x:c r="L289" s="21" t="str">
        <x:v>SRC-009: scripts/settings/equipment/weapon_templates/</x:v>
      </x:c>
      <x:c r="M289" s="21" t="str"/>
    </x:row>
    <x:row r="290" ht="46" customHeight="1">
      <x:c r="A290" s="24" t="str">
        <x:v>ANIM-286</x:v>
      </x:c>
      <x:c r="B290" s="21" t="str">
        <x:v>Weapon combat</x:v>
      </x:c>
      <x:c r="C290" s="21" t="str">
        <x:v>Bow/crossbow: Aim idle</x:v>
      </x:c>
      <x:c r="D290" s="21" t="str">
        <x:v>Third person</x:v>
      </x:c>
      <x:c r="E290" s="21" t="str">
        <x:v>Default</x:v>
      </x:c>
      <x:c r="F290" s="27" t="str">
        <x:v>Conditional</x:v>
      </x:c>
      <x:c r="G290" s="27" t="str">
        <x:v>P1</x:v>
      </x:c>
      <x:c r="H290" s="27" t="str">
        <x:v>Not Started</x:v>
      </x:c>
      <x:c r="I290" s="27" t="str">
        <x:v>Janfon</x:v>
      </x:c>
      <x:c r="J290" s="21" t="str">
        <x:v>FBX clip on canonical Pusfume rig</x:v>
      </x:c>
      <x:c r="K290" s="21" t="str">
        <x:v>Sight/hand alignment remains usable in first person; third-person recoil and reload communicate state to teammates.</x:v>
      </x:c>
      <x:c r="L290" s="21" t="str">
        <x:v>SRC-009: scripts/settings/equipment/weapon_templates/</x:v>
      </x:c>
      <x:c r="M290" s="21" t="str"/>
    </x:row>
    <x:row r="291" ht="46" customHeight="1">
      <x:c r="A291" s="24" t="str">
        <x:v>ANIM-287</x:v>
      </x:c>
      <x:c r="B291" s="21" t="str">
        <x:v>Weapon combat</x:v>
      </x:c>
      <x:c r="C291" s="21" t="str">
        <x:v>Bow/crossbow: Aim idle</x:v>
      </x:c>
      <x:c r="D291" s="21" t="str">
        <x:v>First person</x:v>
      </x:c>
      <x:c r="E291" s="21" t="str">
        <x:v>Default</x:v>
      </x:c>
      <x:c r="F291" s="27" t="str">
        <x:v>Conditional</x:v>
      </x:c>
      <x:c r="G291" s="27" t="str">
        <x:v>P1</x:v>
      </x:c>
      <x:c r="H291" s="27" t="str">
        <x:v>Not Started</x:v>
      </x:c>
      <x:c r="I291" s="27" t="str">
        <x:v>Janfon</x:v>
      </x:c>
      <x:c r="J291" s="21" t="str">
        <x:v>FBX clip on canonical Pusfume rig</x:v>
      </x:c>
      <x:c r="K291" s="21" t="str">
        <x:v>Sight/hand alignment remains usable in first person; third-person recoil and reload communicate state to teammates.</x:v>
      </x:c>
      <x:c r="L291" s="21" t="str">
        <x:v>SRC-009: scripts/settings/equipment/weapon_templates/</x:v>
      </x:c>
      <x:c r="M291" s="21" t="str"/>
    </x:row>
    <x:row r="292" ht="46" customHeight="1">
      <x:c r="A292" s="24" t="str">
        <x:v>ANIM-288</x:v>
      </x:c>
      <x:c r="B292" s="21" t="str">
        <x:v>Weapon combat</x:v>
      </x:c>
      <x:c r="C292" s="21" t="str">
        <x:v>Bow/crossbow: Aim exit</x:v>
      </x:c>
      <x:c r="D292" s="21" t="str">
        <x:v>Third person</x:v>
      </x:c>
      <x:c r="E292" s="21" t="str">
        <x:v>Default</x:v>
      </x:c>
      <x:c r="F292" s="27" t="str">
        <x:v>Conditional</x:v>
      </x:c>
      <x:c r="G292" s="27" t="str">
        <x:v>P2</x:v>
      </x:c>
      <x:c r="H292" s="27" t="str">
        <x:v>Not Started</x:v>
      </x:c>
      <x:c r="I292" s="27" t="str">
        <x:v>Janfon</x:v>
      </x:c>
      <x:c r="J292" s="21" t="str">
        <x:v>FBX clip on canonical Pusfume rig</x:v>
      </x:c>
      <x:c r="K292" s="21" t="str">
        <x:v>Sight/hand alignment remains usable in first person; third-person recoil and reload communicate state to teammates.</x:v>
      </x:c>
      <x:c r="L292" s="21" t="str">
        <x:v>SRC-009: scripts/settings/equipment/weapon_templates/</x:v>
      </x:c>
      <x:c r="M292" s="21" t="str"/>
    </x:row>
    <x:row r="293" ht="46" customHeight="1">
      <x:c r="A293" s="24" t="str">
        <x:v>ANIM-289</x:v>
      </x:c>
      <x:c r="B293" s="21" t="str">
        <x:v>Weapon combat</x:v>
      </x:c>
      <x:c r="C293" s="21" t="str">
        <x:v>Bow/crossbow: Aim exit</x:v>
      </x:c>
      <x:c r="D293" s="21" t="str">
        <x:v>First person</x:v>
      </x:c>
      <x:c r="E293" s="21" t="str">
        <x:v>Default</x:v>
      </x:c>
      <x:c r="F293" s="27" t="str">
        <x:v>Conditional</x:v>
      </x:c>
      <x:c r="G293" s="27" t="str">
        <x:v>P2</x:v>
      </x:c>
      <x:c r="H293" s="27" t="str">
        <x:v>Not Started</x:v>
      </x:c>
      <x:c r="I293" s="27" t="str">
        <x:v>Janfon</x:v>
      </x:c>
      <x:c r="J293" s="21" t="str">
        <x:v>FBX clip on canonical Pusfume rig</x:v>
      </x:c>
      <x:c r="K293" s="21" t="str">
        <x:v>Sight/hand alignment remains usable in first person; third-person recoil and reload communicate state to teammates.</x:v>
      </x:c>
      <x:c r="L293" s="21" t="str">
        <x:v>SRC-009: scripts/settings/equipment/weapon_templates/</x:v>
      </x:c>
      <x:c r="M293" s="21" t="str"/>
    </x:row>
    <x:row r="294" ht="46" customHeight="1">
      <x:c r="A294" s="24" t="str">
        <x:v>ANIM-290</x:v>
      </x:c>
      <x:c r="B294" s="21" t="str">
        <x:v>Weapon combat</x:v>
      </x:c>
      <x:c r="C294" s="21" t="str">
        <x:v>Bow/crossbow: Fire / release</x:v>
      </x:c>
      <x:c r="D294" s="21" t="str">
        <x:v>Third person</x:v>
      </x:c>
      <x:c r="E294" s="21" t="str">
        <x:v>Default</x:v>
      </x:c>
      <x:c r="F294" s="27" t="str">
        <x:v>Conditional</x:v>
      </x:c>
      <x:c r="G294" s="27" t="str">
        <x:v>P1</x:v>
      </x:c>
      <x:c r="H294" s="27" t="str">
        <x:v>Not Started</x:v>
      </x:c>
      <x:c r="I294" s="27" t="str">
        <x:v>Janfon</x:v>
      </x:c>
      <x:c r="J294" s="21" t="str">
        <x:v>FBX clip on canonical Pusfume rig</x:v>
      </x:c>
      <x:c r="K294" s="21" t="str">
        <x:v>Sight/hand alignment remains usable in first person; third-person recoil and reload communicate state to teammates.</x:v>
      </x:c>
      <x:c r="L294" s="21" t="str">
        <x:v>SRC-009: scripts/settings/equipment/weapon_templates/</x:v>
      </x:c>
      <x:c r="M294" s="21" t="str"/>
    </x:row>
    <x:row r="295" ht="46" customHeight="1">
      <x:c r="A295" s="24" t="str">
        <x:v>ANIM-291</x:v>
      </x:c>
      <x:c r="B295" s="21" t="str">
        <x:v>Weapon combat</x:v>
      </x:c>
      <x:c r="C295" s="21" t="str">
        <x:v>Bow/crossbow: Fire / release</x:v>
      </x:c>
      <x:c r="D295" s="21" t="str">
        <x:v>First person</x:v>
      </x:c>
      <x:c r="E295" s="21" t="str">
        <x:v>Default</x:v>
      </x:c>
      <x:c r="F295" s="27" t="str">
        <x:v>Conditional</x:v>
      </x:c>
      <x:c r="G295" s="27" t="str">
        <x:v>P1</x:v>
      </x:c>
      <x:c r="H295" s="27" t="str">
        <x:v>Not Started</x:v>
      </x:c>
      <x:c r="I295" s="27" t="str">
        <x:v>Janfon</x:v>
      </x:c>
      <x:c r="J295" s="21" t="str">
        <x:v>FBX clip on canonical Pusfume rig</x:v>
      </x:c>
      <x:c r="K295" s="21" t="str">
        <x:v>Sight/hand alignment remains usable in first person; third-person recoil and reload communicate state to teammates.</x:v>
      </x:c>
      <x:c r="L295" s="21" t="str">
        <x:v>SRC-009: scripts/settings/equipment/weapon_templates/</x:v>
      </x:c>
      <x:c r="M295" s="21" t="str"/>
    </x:row>
    <x:row r="296" ht="46" customHeight="1">
      <x:c r="A296" s="24" t="str">
        <x:v>ANIM-292</x:v>
      </x:c>
      <x:c r="B296" s="21" t="str">
        <x:v>Weapon combat</x:v>
      </x:c>
      <x:c r="C296" s="21" t="str">
        <x:v>Bow/crossbow: Recoil</x:v>
      </x:c>
      <x:c r="D296" s="21" t="str">
        <x:v>Third person</x:v>
      </x:c>
      <x:c r="E296" s="21" t="str">
        <x:v>Default</x:v>
      </x:c>
      <x:c r="F296" s="27" t="str">
        <x:v>Conditional</x:v>
      </x:c>
      <x:c r="G296" s="27" t="str">
        <x:v>P2</x:v>
      </x:c>
      <x:c r="H296" s="27" t="str">
        <x:v>Not Started</x:v>
      </x:c>
      <x:c r="I296" s="27" t="str">
        <x:v>Janfon</x:v>
      </x:c>
      <x:c r="J296" s="21" t="str">
        <x:v>FBX clip on canonical Pusfume rig</x:v>
      </x:c>
      <x:c r="K296" s="21" t="str">
        <x:v>Sight/hand alignment remains usable in first person; third-person recoil and reload communicate state to teammates.</x:v>
      </x:c>
      <x:c r="L296" s="21" t="str">
        <x:v>SRC-009: scripts/settings/equipment/weapon_templates/</x:v>
      </x:c>
      <x:c r="M296" s="21" t="str"/>
    </x:row>
    <x:row r="297" ht="46" customHeight="1">
      <x:c r="A297" s="24" t="str">
        <x:v>ANIM-293</x:v>
      </x:c>
      <x:c r="B297" s="21" t="str">
        <x:v>Weapon combat</x:v>
      </x:c>
      <x:c r="C297" s="21" t="str">
        <x:v>Bow/crossbow: Recoil</x:v>
      </x:c>
      <x:c r="D297" s="21" t="str">
        <x:v>First person</x:v>
      </x:c>
      <x:c r="E297" s="21" t="str">
        <x:v>Default</x:v>
      </x:c>
      <x:c r="F297" s="27" t="str">
        <x:v>Conditional</x:v>
      </x:c>
      <x:c r="G297" s="27" t="str">
        <x:v>P2</x:v>
      </x:c>
      <x:c r="H297" s="27" t="str">
        <x:v>Not Started</x:v>
      </x:c>
      <x:c r="I297" s="27" t="str">
        <x:v>Janfon</x:v>
      </x:c>
      <x:c r="J297" s="21" t="str">
        <x:v>FBX clip on canonical Pusfume rig</x:v>
      </x:c>
      <x:c r="K297" s="21" t="str">
        <x:v>Sight/hand alignment remains usable in first person; third-person recoil and reload communicate state to teammates.</x:v>
      </x:c>
      <x:c r="L297" s="21" t="str">
        <x:v>SRC-009: scripts/settings/equipment/weapon_templates/</x:v>
      </x:c>
      <x:c r="M297" s="21" t="str"/>
    </x:row>
    <x:row r="298" ht="46" customHeight="1">
      <x:c r="A298" s="24" t="str">
        <x:v>ANIM-294</x:v>
      </x:c>
      <x:c r="B298" s="21" t="str">
        <x:v>Weapon combat</x:v>
      </x:c>
      <x:c r="C298" s="21" t="str">
        <x:v>Bow/crossbow: Reload start</x:v>
      </x:c>
      <x:c r="D298" s="21" t="str">
        <x:v>Third person</x:v>
      </x:c>
      <x:c r="E298" s="21" t="str">
        <x:v>Default</x:v>
      </x:c>
      <x:c r="F298" s="27" t="str">
        <x:v>Conditional</x:v>
      </x:c>
      <x:c r="G298" s="27" t="str">
        <x:v>P2</x:v>
      </x:c>
      <x:c r="H298" s="27" t="str">
        <x:v>Not Started</x:v>
      </x:c>
      <x:c r="I298" s="27" t="str">
        <x:v>Janfon</x:v>
      </x:c>
      <x:c r="J298" s="21" t="str">
        <x:v>FBX clip on canonical Pusfume rig</x:v>
      </x:c>
      <x:c r="K298" s="21" t="str">
        <x:v>Sight/hand alignment remains usable in first person; third-person recoil and reload communicate state to teammates.</x:v>
      </x:c>
      <x:c r="L298" s="21" t="str">
        <x:v>SRC-009: scripts/settings/equipment/weapon_templates/</x:v>
      </x:c>
      <x:c r="M298" s="21" t="str"/>
    </x:row>
    <x:row r="299" ht="46" customHeight="1">
      <x:c r="A299" s="24" t="str">
        <x:v>ANIM-295</x:v>
      </x:c>
      <x:c r="B299" s="21" t="str">
        <x:v>Weapon combat</x:v>
      </x:c>
      <x:c r="C299" s="21" t="str">
        <x:v>Bow/crossbow: Reload start</x:v>
      </x:c>
      <x:c r="D299" s="21" t="str">
        <x:v>First person</x:v>
      </x:c>
      <x:c r="E299" s="21" t="str">
        <x:v>Default</x:v>
      </x:c>
      <x:c r="F299" s="27" t="str">
        <x:v>Conditional</x:v>
      </x:c>
      <x:c r="G299" s="27" t="str">
        <x:v>P2</x:v>
      </x:c>
      <x:c r="H299" s="27" t="str">
        <x:v>Not Started</x:v>
      </x:c>
      <x:c r="I299" s="27" t="str">
        <x:v>Janfon</x:v>
      </x:c>
      <x:c r="J299" s="21" t="str">
        <x:v>FBX clip on canonical Pusfume rig</x:v>
      </x:c>
      <x:c r="K299" s="21" t="str">
        <x:v>Sight/hand alignment remains usable in first person; third-person recoil and reload communicate state to teammates.</x:v>
      </x:c>
      <x:c r="L299" s="21" t="str">
        <x:v>SRC-009: scripts/settings/equipment/weapon_templates/</x:v>
      </x:c>
      <x:c r="M299" s="21" t="str"/>
    </x:row>
    <x:row r="300" ht="46" customHeight="1">
      <x:c r="A300" s="24" t="str">
        <x:v>ANIM-296</x:v>
      </x:c>
      <x:c r="B300" s="21" t="str">
        <x:v>Weapon combat</x:v>
      </x:c>
      <x:c r="C300" s="21" t="str">
        <x:v>Bow/crossbow: Reload loop</x:v>
      </x:c>
      <x:c r="D300" s="21" t="str">
        <x:v>Third person</x:v>
      </x:c>
      <x:c r="E300" s="21" t="str">
        <x:v>Default</x:v>
      </x:c>
      <x:c r="F300" s="27" t="str">
        <x:v>Conditional</x:v>
      </x:c>
      <x:c r="G300" s="27" t="str">
        <x:v>P2</x:v>
      </x:c>
      <x:c r="H300" s="27" t="str">
        <x:v>Not Started</x:v>
      </x:c>
      <x:c r="I300" s="27" t="str">
        <x:v>Janfon</x:v>
      </x:c>
      <x:c r="J300" s="21" t="str">
        <x:v>FBX clip on canonical Pusfume rig</x:v>
      </x:c>
      <x:c r="K300" s="21" t="str">
        <x:v>Sight/hand alignment remains usable in first person; third-person recoil and reload communicate state to teammates.</x:v>
      </x:c>
      <x:c r="L300" s="21" t="str">
        <x:v>SRC-009: scripts/settings/equipment/weapon_templates/</x:v>
      </x:c>
      <x:c r="M300" s="21" t="str"/>
    </x:row>
    <x:row r="301" ht="46" customHeight="1">
      <x:c r="A301" s="24" t="str">
        <x:v>ANIM-297</x:v>
      </x:c>
      <x:c r="B301" s="21" t="str">
        <x:v>Weapon combat</x:v>
      </x:c>
      <x:c r="C301" s="21" t="str">
        <x:v>Bow/crossbow: Reload loop</x:v>
      </x:c>
      <x:c r="D301" s="21" t="str">
        <x:v>First person</x:v>
      </x:c>
      <x:c r="E301" s="21" t="str">
        <x:v>Default</x:v>
      </x:c>
      <x:c r="F301" s="27" t="str">
        <x:v>Conditional</x:v>
      </x:c>
      <x:c r="G301" s="27" t="str">
        <x:v>P2</x:v>
      </x:c>
      <x:c r="H301" s="27" t="str">
        <x:v>Not Started</x:v>
      </x:c>
      <x:c r="I301" s="27" t="str">
        <x:v>Janfon</x:v>
      </x:c>
      <x:c r="J301" s="21" t="str">
        <x:v>FBX clip on canonical Pusfume rig</x:v>
      </x:c>
      <x:c r="K301" s="21" t="str">
        <x:v>Sight/hand alignment remains usable in first person; third-person recoil and reload communicate state to teammates.</x:v>
      </x:c>
      <x:c r="L301" s="21" t="str">
        <x:v>SRC-009: scripts/settings/equipment/weapon_templates/</x:v>
      </x:c>
      <x:c r="M301" s="21" t="str"/>
    </x:row>
    <x:row r="302" ht="46" customHeight="1">
      <x:c r="A302" s="24" t="str">
        <x:v>ANIM-298</x:v>
      </x:c>
      <x:c r="B302" s="21" t="str">
        <x:v>Weapon combat</x:v>
      </x:c>
      <x:c r="C302" s="21" t="str">
        <x:v>Bow/crossbow: Reload finish</x:v>
      </x:c>
      <x:c r="D302" s="21" t="str">
        <x:v>Third person</x:v>
      </x:c>
      <x:c r="E302" s="21" t="str">
        <x:v>Default</x:v>
      </x:c>
      <x:c r="F302" s="27" t="str">
        <x:v>Conditional</x:v>
      </x:c>
      <x:c r="G302" s="27" t="str">
        <x:v>P2</x:v>
      </x:c>
      <x:c r="H302" s="27" t="str">
        <x:v>Not Started</x:v>
      </x:c>
      <x:c r="I302" s="27" t="str">
        <x:v>Janfon</x:v>
      </x:c>
      <x:c r="J302" s="21" t="str">
        <x:v>FBX clip on canonical Pusfume rig</x:v>
      </x:c>
      <x:c r="K302" s="21" t="str">
        <x:v>Sight/hand alignment remains usable in first person; third-person recoil and reload communicate state to teammates.</x:v>
      </x:c>
      <x:c r="L302" s="21" t="str">
        <x:v>SRC-009: scripts/settings/equipment/weapon_templates/</x:v>
      </x:c>
      <x:c r="M302" s="21" t="str"/>
    </x:row>
    <x:row r="303" ht="46" customHeight="1">
      <x:c r="A303" s="24" t="str">
        <x:v>ANIM-299</x:v>
      </x:c>
      <x:c r="B303" s="21" t="str">
        <x:v>Weapon combat</x:v>
      </x:c>
      <x:c r="C303" s="21" t="str">
        <x:v>Bow/crossbow: Reload finish</x:v>
      </x:c>
      <x:c r="D303" s="21" t="str">
        <x:v>First person</x:v>
      </x:c>
      <x:c r="E303" s="21" t="str">
        <x:v>Default</x:v>
      </x:c>
      <x:c r="F303" s="27" t="str">
        <x:v>Conditional</x:v>
      </x:c>
      <x:c r="G303" s="27" t="str">
        <x:v>P2</x:v>
      </x:c>
      <x:c r="H303" s="27" t="str">
        <x:v>Not Started</x:v>
      </x:c>
      <x:c r="I303" s="27" t="str">
        <x:v>Janfon</x:v>
      </x:c>
      <x:c r="J303" s="21" t="str">
        <x:v>FBX clip on canonical Pusfume rig</x:v>
      </x:c>
      <x:c r="K303" s="21" t="str">
        <x:v>Sight/hand alignment remains usable in first person; third-person recoil and reload communicate state to teammates.</x:v>
      </x:c>
      <x:c r="L303" s="21" t="str">
        <x:v>SRC-009: scripts/settings/equipment/weapon_templates/</x:v>
      </x:c>
      <x:c r="M303" s="21" t="str"/>
    </x:row>
    <x:row r="304" ht="46" customHeight="1">
      <x:c r="A304" s="24" t="str">
        <x:v>ANIM-300</x:v>
      </x:c>
      <x:c r="B304" s="21" t="str">
        <x:v>Weapon combat</x:v>
      </x:c>
      <x:c r="C304" s="21" t="str">
        <x:v>Bow/crossbow: Dry fire</x:v>
      </x:c>
      <x:c r="D304" s="21" t="str">
        <x:v>Third person</x:v>
      </x:c>
      <x:c r="E304" s="21" t="str">
        <x:v>Default</x:v>
      </x:c>
      <x:c r="F304" s="27" t="str">
        <x:v>Conditional</x:v>
      </x:c>
      <x:c r="G304" s="27" t="str">
        <x:v>P2</x:v>
      </x:c>
      <x:c r="H304" s="27" t="str">
        <x:v>Not Started</x:v>
      </x:c>
      <x:c r="I304" s="27" t="str">
        <x:v>Janfon</x:v>
      </x:c>
      <x:c r="J304" s="21" t="str">
        <x:v>FBX clip on canonical Pusfume rig</x:v>
      </x:c>
      <x:c r="K304" s="21" t="str">
        <x:v>Sight/hand alignment remains usable in first person; third-person recoil and reload communicate state to teammates.</x:v>
      </x:c>
      <x:c r="L304" s="21" t="str">
        <x:v>SRC-009: scripts/settings/equipment/weapon_templates/</x:v>
      </x:c>
      <x:c r="M304" s="21" t="str"/>
    </x:row>
    <x:row r="305" ht="46" customHeight="1">
      <x:c r="A305" s="24" t="str">
        <x:v>ANIM-301</x:v>
      </x:c>
      <x:c r="B305" s="21" t="str">
        <x:v>Weapon combat</x:v>
      </x:c>
      <x:c r="C305" s="21" t="str">
        <x:v>Bow/crossbow: Dry fire</x:v>
      </x:c>
      <x:c r="D305" s="21" t="str">
        <x:v>First person</x:v>
      </x:c>
      <x:c r="E305" s="21" t="str">
        <x:v>Default</x:v>
      </x:c>
      <x:c r="F305" s="27" t="str">
        <x:v>Conditional</x:v>
      </x:c>
      <x:c r="G305" s="27" t="str">
        <x:v>P2</x:v>
      </x:c>
      <x:c r="H305" s="27" t="str">
        <x:v>Not Started</x:v>
      </x:c>
      <x:c r="I305" s="27" t="str">
        <x:v>Janfon</x:v>
      </x:c>
      <x:c r="J305" s="21" t="str">
        <x:v>FBX clip on canonical Pusfume rig</x:v>
      </x:c>
      <x:c r="K305" s="21" t="str">
        <x:v>Sight/hand alignment remains usable in first person; third-person recoil and reload communicate state to teammates.</x:v>
      </x:c>
      <x:c r="L305" s="21" t="str">
        <x:v>SRC-009: scripts/settings/equipment/weapon_templates/</x:v>
      </x:c>
      <x:c r="M305" s="21" t="str"/>
    </x:row>
    <x:row r="306" ht="46" customHeight="1">
      <x:c r="A306" s="24" t="str">
        <x:v>ANIM-302</x:v>
      </x:c>
      <x:c r="B306" s="21" t="str">
        <x:v>Weapon combat</x:v>
      </x:c>
      <x:c r="C306" s="21" t="str">
        <x:v>Bow/crossbow: Cancel / lower</x:v>
      </x:c>
      <x:c r="D306" s="21" t="str">
        <x:v>Third person</x:v>
      </x:c>
      <x:c r="E306" s="21" t="str">
        <x:v>Default</x:v>
      </x:c>
      <x:c r="F306" s="27" t="str">
        <x:v>Conditional</x:v>
      </x:c>
      <x:c r="G306" s="27" t="str">
        <x:v>P2</x:v>
      </x:c>
      <x:c r="H306" s="27" t="str">
        <x:v>Not Started</x:v>
      </x:c>
      <x:c r="I306" s="27" t="str">
        <x:v>Janfon</x:v>
      </x:c>
      <x:c r="J306" s="21" t="str">
        <x:v>FBX clip on canonical Pusfume rig</x:v>
      </x:c>
      <x:c r="K306" s="21" t="str">
        <x:v>Sight/hand alignment remains usable in first person; third-person recoil and reload communicate state to teammates.</x:v>
      </x:c>
      <x:c r="L306" s="21" t="str">
        <x:v>SRC-009: scripts/settings/equipment/weapon_templates/</x:v>
      </x:c>
      <x:c r="M306" s="21" t="str"/>
    </x:row>
    <x:row r="307" ht="46" customHeight="1">
      <x:c r="A307" s="24" t="str">
        <x:v>ANIM-303</x:v>
      </x:c>
      <x:c r="B307" s="21" t="str">
        <x:v>Weapon combat</x:v>
      </x:c>
      <x:c r="C307" s="21" t="str">
        <x:v>Bow/crossbow: Cancel / lower</x:v>
      </x:c>
      <x:c r="D307" s="21" t="str">
        <x:v>First person</x:v>
      </x:c>
      <x:c r="E307" s="21" t="str">
        <x:v>Default</x:v>
      </x:c>
      <x:c r="F307" s="27" t="str">
        <x:v>Conditional</x:v>
      </x:c>
      <x:c r="G307" s="27" t="str">
        <x:v>P2</x:v>
      </x:c>
      <x:c r="H307" s="27" t="str">
        <x:v>Not Started</x:v>
      </x:c>
      <x:c r="I307" s="27" t="str">
        <x:v>Janfon</x:v>
      </x:c>
      <x:c r="J307" s="21" t="str">
        <x:v>FBX clip on canonical Pusfume rig</x:v>
      </x:c>
      <x:c r="K307" s="21" t="str">
        <x:v>Sight/hand alignment remains usable in first person; third-person recoil and reload communicate state to teammates.</x:v>
      </x:c>
      <x:c r="L307" s="21" t="str">
        <x:v>SRC-009: scripts/settings/equipment/weapon_templates/</x:v>
      </x:c>
      <x:c r="M307" s="21" t="str"/>
    </x:row>
    <x:row r="308" ht="46" customHeight="1">
      <x:c r="A308" s="24" t="str">
        <x:v>ANIM-304</x:v>
      </x:c>
      <x:c r="B308" s="21" t="str">
        <x:v>Weapon combat</x:v>
      </x:c>
      <x:c r="C308" s="21" t="str">
        <x:v>Bow/crossbow: Throw charge</x:v>
      </x:c>
      <x:c r="D308" s="21" t="str">
        <x:v>Third person</x:v>
      </x:c>
      <x:c r="E308" s="21" t="str">
        <x:v>Default</x:v>
      </x:c>
      <x:c r="F308" s="27" t="str">
        <x:v>Conditional</x:v>
      </x:c>
      <x:c r="G308" s="27" t="str">
        <x:v>P2</x:v>
      </x:c>
      <x:c r="H308" s="27" t="str">
        <x:v>Not Started</x:v>
      </x:c>
      <x:c r="I308" s="27" t="str">
        <x:v>Janfon</x:v>
      </x:c>
      <x:c r="J308" s="21" t="str">
        <x:v>FBX clip on canonical Pusfume rig</x:v>
      </x:c>
      <x:c r="K308" s="21" t="str">
        <x:v>Sight/hand alignment remains usable in first person; third-person recoil and reload communicate state to teammates.</x:v>
      </x:c>
      <x:c r="L308" s="21" t="str">
        <x:v>SRC-009: scripts/settings/equipment/weapon_templates/</x:v>
      </x:c>
      <x:c r="M308" s="21" t="str"/>
    </x:row>
    <x:row r="309" ht="46" customHeight="1">
      <x:c r="A309" s="24" t="str">
        <x:v>ANIM-305</x:v>
      </x:c>
      <x:c r="B309" s="21" t="str">
        <x:v>Weapon combat</x:v>
      </x:c>
      <x:c r="C309" s="21" t="str">
        <x:v>Bow/crossbow: Throw charge</x:v>
      </x:c>
      <x:c r="D309" s="21" t="str">
        <x:v>First person</x:v>
      </x:c>
      <x:c r="E309" s="21" t="str">
        <x:v>Default</x:v>
      </x:c>
      <x:c r="F309" s="27" t="str">
        <x:v>Conditional</x:v>
      </x:c>
      <x:c r="G309" s="27" t="str">
        <x:v>P2</x:v>
      </x:c>
      <x:c r="H309" s="27" t="str">
        <x:v>Not Started</x:v>
      </x:c>
      <x:c r="I309" s="27" t="str">
        <x:v>Janfon</x:v>
      </x:c>
      <x:c r="J309" s="21" t="str">
        <x:v>FBX clip on canonical Pusfume rig</x:v>
      </x:c>
      <x:c r="K309" s="21" t="str">
        <x:v>Sight/hand alignment remains usable in first person; third-person recoil and reload communicate state to teammates.</x:v>
      </x:c>
      <x:c r="L309" s="21" t="str">
        <x:v>SRC-009: scripts/settings/equipment/weapon_templates/</x:v>
      </x:c>
      <x:c r="M309" s="21" t="str"/>
    </x:row>
    <x:row r="310" ht="46" customHeight="1">
      <x:c r="A310" s="24" t="str">
        <x:v>ANIM-306</x:v>
      </x:c>
      <x:c r="B310" s="21" t="str">
        <x:v>Weapon combat</x:v>
      </x:c>
      <x:c r="C310" s="21" t="str">
        <x:v>Bow/crossbow: Throw release</x:v>
      </x:c>
      <x:c r="D310" s="21" t="str">
        <x:v>Third person</x:v>
      </x:c>
      <x:c r="E310" s="21" t="str">
        <x:v>Default</x:v>
      </x:c>
      <x:c r="F310" s="27" t="str">
        <x:v>Conditional</x:v>
      </x:c>
      <x:c r="G310" s="27" t="str">
        <x:v>P1</x:v>
      </x:c>
      <x:c r="H310" s="27" t="str">
        <x:v>Not Started</x:v>
      </x:c>
      <x:c r="I310" s="27" t="str">
        <x:v>Janfon</x:v>
      </x:c>
      <x:c r="J310" s="21" t="str">
        <x:v>FBX clip on canonical Pusfume rig</x:v>
      </x:c>
      <x:c r="K310" s="21" t="str">
        <x:v>Sight/hand alignment remains usable in first person; third-person recoil and reload communicate state to teammates.</x:v>
      </x:c>
      <x:c r="L310" s="21" t="str">
        <x:v>SRC-009: scripts/settings/equipment/weapon_templates/</x:v>
      </x:c>
      <x:c r="M310" s="21" t="str"/>
    </x:row>
    <x:row r="311" ht="46" customHeight="1">
      <x:c r="A311" s="24" t="str">
        <x:v>ANIM-307</x:v>
      </x:c>
      <x:c r="B311" s="21" t="str">
        <x:v>Weapon combat</x:v>
      </x:c>
      <x:c r="C311" s="21" t="str">
        <x:v>Bow/crossbow: Throw release</x:v>
      </x:c>
      <x:c r="D311" s="21" t="str">
        <x:v>First person</x:v>
      </x:c>
      <x:c r="E311" s="21" t="str">
        <x:v>Default</x:v>
      </x:c>
      <x:c r="F311" s="27" t="str">
        <x:v>Conditional</x:v>
      </x:c>
      <x:c r="G311" s="27" t="str">
        <x:v>P1</x:v>
      </x:c>
      <x:c r="H311" s="27" t="str">
        <x:v>Not Started</x:v>
      </x:c>
      <x:c r="I311" s="27" t="str">
        <x:v>Janfon</x:v>
      </x:c>
      <x:c r="J311" s="21" t="str">
        <x:v>FBX clip on canonical Pusfume rig</x:v>
      </x:c>
      <x:c r="K311" s="21" t="str">
        <x:v>Sight/hand alignment remains usable in first person; third-person recoil and reload communicate state to teammates.</x:v>
      </x:c>
      <x:c r="L311" s="21" t="str">
        <x:v>SRC-009: scripts/settings/equipment/weapon_templates/</x:v>
      </x:c>
      <x:c r="M311" s="21" t="str"/>
    </x:row>
    <x:row r="312" ht="46" customHeight="1">
      <x:c r="A312" s="24" t="str">
        <x:v>ANIM-308</x:v>
      </x:c>
      <x:c r="B312" s="21" t="str">
        <x:v>Weapon combat</x:v>
      </x:c>
      <x:c r="C312" s="21" t="str">
        <x:v>Firearm: Equip / draw</x:v>
      </x:c>
      <x:c r="D312" s="21" t="str">
        <x:v>Third person</x:v>
      </x:c>
      <x:c r="E312" s="21" t="str">
        <x:v>Default</x:v>
      </x:c>
      <x:c r="F312" s="27" t="str">
        <x:v>Conditional</x:v>
      </x:c>
      <x:c r="G312" s="27" t="str">
        <x:v>P2</x:v>
      </x:c>
      <x:c r="H312" s="27" t="str">
        <x:v>Not Started</x:v>
      </x:c>
      <x:c r="I312" s="27" t="str">
        <x:v>Janfon</x:v>
      </x:c>
      <x:c r="J312" s="21" t="str">
        <x:v>FBX clip on canonical Pusfume rig</x:v>
      </x:c>
      <x:c r="K312" s="21" t="str">
        <x:v>Sight/hand alignment remains usable in first person; third-person recoil and reload communicate state to teammates.</x:v>
      </x:c>
      <x:c r="L312" s="21" t="str">
        <x:v>SRC-009: scripts/settings/equipment/weapon_templates/</x:v>
      </x:c>
      <x:c r="M312" s="21" t="str"/>
    </x:row>
    <x:row r="313" ht="46" customHeight="1">
      <x:c r="A313" s="24" t="str">
        <x:v>ANIM-309</x:v>
      </x:c>
      <x:c r="B313" s="21" t="str">
        <x:v>Weapon combat</x:v>
      </x:c>
      <x:c r="C313" s="21" t="str">
        <x:v>Firearm: Equip / draw</x:v>
      </x:c>
      <x:c r="D313" s="21" t="str">
        <x:v>First person</x:v>
      </x:c>
      <x:c r="E313" s="21" t="str">
        <x:v>Default</x:v>
      </x:c>
      <x:c r="F313" s="27" t="str">
        <x:v>Conditional</x:v>
      </x:c>
      <x:c r="G313" s="27" t="str">
        <x:v>P2</x:v>
      </x:c>
      <x:c r="H313" s="27" t="str">
        <x:v>Not Started</x:v>
      </x:c>
      <x:c r="I313" s="27" t="str">
        <x:v>Janfon</x:v>
      </x:c>
      <x:c r="J313" s="21" t="str">
        <x:v>FBX clip on canonical Pusfume rig</x:v>
      </x:c>
      <x:c r="K313" s="21" t="str">
        <x:v>Sight/hand alignment remains usable in first person; third-person recoil and reload communicate state to teammates.</x:v>
      </x:c>
      <x:c r="L313" s="21" t="str">
        <x:v>SRC-009: scripts/settings/equipment/weapon_templates/</x:v>
      </x:c>
      <x:c r="M313" s="21" t="str"/>
    </x:row>
    <x:row r="314" ht="46" customHeight="1">
      <x:c r="A314" s="24" t="str">
        <x:v>ANIM-310</x:v>
      </x:c>
      <x:c r="B314" s="21" t="str">
        <x:v>Weapon combat</x:v>
      </x:c>
      <x:c r="C314" s="21" t="str">
        <x:v>Firearm: Weapon idle</x:v>
      </x:c>
      <x:c r="D314" s="21" t="str">
        <x:v>Third person</x:v>
      </x:c>
      <x:c r="E314" s="21" t="str">
        <x:v>Default</x:v>
      </x:c>
      <x:c r="F314" s="27" t="str">
        <x:v>Conditional</x:v>
      </x:c>
      <x:c r="G314" s="27" t="str">
        <x:v>P1</x:v>
      </x:c>
      <x:c r="H314" s="27" t="str">
        <x:v>Not Started</x:v>
      </x:c>
      <x:c r="I314" s="27" t="str">
        <x:v>Janfon</x:v>
      </x:c>
      <x:c r="J314" s="21" t="str">
        <x:v>FBX clip on canonical Pusfume rig</x:v>
      </x:c>
      <x:c r="K314" s="21" t="str">
        <x:v>Sight/hand alignment remains usable in first person; third-person recoil and reload communicate state to teammates.</x:v>
      </x:c>
      <x:c r="L314" s="21" t="str">
        <x:v>SRC-009: scripts/settings/equipment/weapon_templates/</x:v>
      </x:c>
      <x:c r="M314" s="21" t="str"/>
    </x:row>
    <x:row r="315" ht="46" customHeight="1">
      <x:c r="A315" s="24" t="str">
        <x:v>ANIM-311</x:v>
      </x:c>
      <x:c r="B315" s="21" t="str">
        <x:v>Weapon combat</x:v>
      </x:c>
      <x:c r="C315" s="21" t="str">
        <x:v>Firearm: Weapon idle</x:v>
      </x:c>
      <x:c r="D315" s="21" t="str">
        <x:v>First person</x:v>
      </x:c>
      <x:c r="E315" s="21" t="str">
        <x:v>Default</x:v>
      </x:c>
      <x:c r="F315" s="27" t="str">
        <x:v>Conditional</x:v>
      </x:c>
      <x:c r="G315" s="27" t="str">
        <x:v>P1</x:v>
      </x:c>
      <x:c r="H315" s="27" t="str">
        <x:v>Not Started</x:v>
      </x:c>
      <x:c r="I315" s="27" t="str">
        <x:v>Janfon</x:v>
      </x:c>
      <x:c r="J315" s="21" t="str">
        <x:v>FBX clip on canonical Pusfume rig</x:v>
      </x:c>
      <x:c r="K315" s="21" t="str">
        <x:v>Sight/hand alignment remains usable in first person; third-person recoil and reload communicate state to teammates.</x:v>
      </x:c>
      <x:c r="L315" s="21" t="str">
        <x:v>SRC-009: scripts/settings/equipment/weapon_templates/</x:v>
      </x:c>
      <x:c r="M315" s="21" t="str"/>
    </x:row>
    <x:row r="316" ht="46" customHeight="1">
      <x:c r="A316" s="24" t="str">
        <x:v>ANIM-312</x:v>
      </x:c>
      <x:c r="B316" s="21" t="str">
        <x:v>Weapon combat</x:v>
      </x:c>
      <x:c r="C316" s="21" t="str">
        <x:v>Firearm: Aim enter</x:v>
      </x:c>
      <x:c r="D316" s="21" t="str">
        <x:v>Third person</x:v>
      </x:c>
      <x:c r="E316" s="21" t="str">
        <x:v>Default</x:v>
      </x:c>
      <x:c r="F316" s="27" t="str">
        <x:v>Conditional</x:v>
      </x:c>
      <x:c r="G316" s="27" t="str">
        <x:v>P2</x:v>
      </x:c>
      <x:c r="H316" s="27" t="str">
        <x:v>Not Started</x:v>
      </x:c>
      <x:c r="I316" s="27" t="str">
        <x:v>Janfon</x:v>
      </x:c>
      <x:c r="J316" s="21" t="str">
        <x:v>FBX clip on canonical Pusfume rig</x:v>
      </x:c>
      <x:c r="K316" s="21" t="str">
        <x:v>Sight/hand alignment remains usable in first person; third-person recoil and reload communicate state to teammates.</x:v>
      </x:c>
      <x:c r="L316" s="21" t="str">
        <x:v>SRC-009: scripts/settings/equipment/weapon_templates/</x:v>
      </x:c>
      <x:c r="M316" s="21" t="str"/>
    </x:row>
    <x:row r="317" ht="46" customHeight="1">
      <x:c r="A317" s="24" t="str">
        <x:v>ANIM-313</x:v>
      </x:c>
      <x:c r="B317" s="21" t="str">
        <x:v>Weapon combat</x:v>
      </x:c>
      <x:c r="C317" s="21" t="str">
        <x:v>Firearm: Aim enter</x:v>
      </x:c>
      <x:c r="D317" s="21" t="str">
        <x:v>First person</x:v>
      </x:c>
      <x:c r="E317" s="21" t="str">
        <x:v>Default</x:v>
      </x:c>
      <x:c r="F317" s="27" t="str">
        <x:v>Conditional</x:v>
      </x:c>
      <x:c r="G317" s="27" t="str">
        <x:v>P2</x:v>
      </x:c>
      <x:c r="H317" s="27" t="str">
        <x:v>Not Started</x:v>
      </x:c>
      <x:c r="I317" s="27" t="str">
        <x:v>Janfon</x:v>
      </x:c>
      <x:c r="J317" s="21" t="str">
        <x:v>FBX clip on canonical Pusfume rig</x:v>
      </x:c>
      <x:c r="K317" s="21" t="str">
        <x:v>Sight/hand alignment remains usable in first person; third-person recoil and reload communicate state to teammates.</x:v>
      </x:c>
      <x:c r="L317" s="21" t="str">
        <x:v>SRC-009: scripts/settings/equipment/weapon_templates/</x:v>
      </x:c>
      <x:c r="M317" s="21" t="str"/>
    </x:row>
    <x:row r="318" ht="46" customHeight="1">
      <x:c r="A318" s="24" t="str">
        <x:v>ANIM-314</x:v>
      </x:c>
      <x:c r="B318" s="21" t="str">
        <x:v>Weapon combat</x:v>
      </x:c>
      <x:c r="C318" s="21" t="str">
        <x:v>Firearm: Aim idle</x:v>
      </x:c>
      <x:c r="D318" s="21" t="str">
        <x:v>Third person</x:v>
      </x:c>
      <x:c r="E318" s="21" t="str">
        <x:v>Default</x:v>
      </x:c>
      <x:c r="F318" s="27" t="str">
        <x:v>Conditional</x:v>
      </x:c>
      <x:c r="G318" s="27" t="str">
        <x:v>P1</x:v>
      </x:c>
      <x:c r="H318" s="27" t="str">
        <x:v>Not Started</x:v>
      </x:c>
      <x:c r="I318" s="27" t="str">
        <x:v>Janfon</x:v>
      </x:c>
      <x:c r="J318" s="21" t="str">
        <x:v>FBX clip on canonical Pusfume rig</x:v>
      </x:c>
      <x:c r="K318" s="21" t="str">
        <x:v>Sight/hand alignment remains usable in first person; third-person recoil and reload communicate state to teammates.</x:v>
      </x:c>
      <x:c r="L318" s="21" t="str">
        <x:v>SRC-009: scripts/settings/equipment/weapon_templates/</x:v>
      </x:c>
      <x:c r="M318" s="21" t="str"/>
    </x:row>
    <x:row r="319" ht="46" customHeight="1">
      <x:c r="A319" s="24" t="str">
        <x:v>ANIM-315</x:v>
      </x:c>
      <x:c r="B319" s="21" t="str">
        <x:v>Weapon combat</x:v>
      </x:c>
      <x:c r="C319" s="21" t="str">
        <x:v>Firearm: Aim idle</x:v>
      </x:c>
      <x:c r="D319" s="21" t="str">
        <x:v>First person</x:v>
      </x:c>
      <x:c r="E319" s="21" t="str">
        <x:v>Default</x:v>
      </x:c>
      <x:c r="F319" s="27" t="str">
        <x:v>Conditional</x:v>
      </x:c>
      <x:c r="G319" s="27" t="str">
        <x:v>P1</x:v>
      </x:c>
      <x:c r="H319" s="27" t="str">
        <x:v>Not Started</x:v>
      </x:c>
      <x:c r="I319" s="27" t="str">
        <x:v>Janfon</x:v>
      </x:c>
      <x:c r="J319" s="21" t="str">
        <x:v>FBX clip on canonical Pusfume rig</x:v>
      </x:c>
      <x:c r="K319" s="21" t="str">
        <x:v>Sight/hand alignment remains usable in first person; third-person recoil and reload communicate state to teammates.</x:v>
      </x:c>
      <x:c r="L319" s="21" t="str">
        <x:v>SRC-009: scripts/settings/equipment/weapon_templates/</x:v>
      </x:c>
      <x:c r="M319" s="21" t="str"/>
    </x:row>
    <x:row r="320" ht="46" customHeight="1">
      <x:c r="A320" s="24" t="str">
        <x:v>ANIM-316</x:v>
      </x:c>
      <x:c r="B320" s="21" t="str">
        <x:v>Weapon combat</x:v>
      </x:c>
      <x:c r="C320" s="21" t="str">
        <x:v>Firearm: Aim exit</x:v>
      </x:c>
      <x:c r="D320" s="21" t="str">
        <x:v>Third person</x:v>
      </x:c>
      <x:c r="E320" s="21" t="str">
        <x:v>Default</x:v>
      </x:c>
      <x:c r="F320" s="27" t="str">
        <x:v>Conditional</x:v>
      </x:c>
      <x:c r="G320" s="27" t="str">
        <x:v>P2</x:v>
      </x:c>
      <x:c r="H320" s="27" t="str">
        <x:v>Not Started</x:v>
      </x:c>
      <x:c r="I320" s="27" t="str">
        <x:v>Janfon</x:v>
      </x:c>
      <x:c r="J320" s="21" t="str">
        <x:v>FBX clip on canonical Pusfume rig</x:v>
      </x:c>
      <x:c r="K320" s="21" t="str">
        <x:v>Sight/hand alignment remains usable in first person; third-person recoil and reload communicate state to teammates.</x:v>
      </x:c>
      <x:c r="L320" s="21" t="str">
        <x:v>SRC-009: scripts/settings/equipment/weapon_templates/</x:v>
      </x:c>
      <x:c r="M320" s="21" t="str"/>
    </x:row>
    <x:row r="321" ht="46" customHeight="1">
      <x:c r="A321" s="24" t="str">
        <x:v>ANIM-317</x:v>
      </x:c>
      <x:c r="B321" s="21" t="str">
        <x:v>Weapon combat</x:v>
      </x:c>
      <x:c r="C321" s="21" t="str">
        <x:v>Firearm: Aim exit</x:v>
      </x:c>
      <x:c r="D321" s="21" t="str">
        <x:v>First person</x:v>
      </x:c>
      <x:c r="E321" s="21" t="str">
        <x:v>Default</x:v>
      </x:c>
      <x:c r="F321" s="27" t="str">
        <x:v>Conditional</x:v>
      </x:c>
      <x:c r="G321" s="27" t="str">
        <x:v>P2</x:v>
      </x:c>
      <x:c r="H321" s="27" t="str">
        <x:v>Not Started</x:v>
      </x:c>
      <x:c r="I321" s="27" t="str">
        <x:v>Janfon</x:v>
      </x:c>
      <x:c r="J321" s="21" t="str">
        <x:v>FBX clip on canonical Pusfume rig</x:v>
      </x:c>
      <x:c r="K321" s="21" t="str">
        <x:v>Sight/hand alignment remains usable in first person; third-person recoil and reload communicate state to teammates.</x:v>
      </x:c>
      <x:c r="L321" s="21" t="str">
        <x:v>SRC-009: scripts/settings/equipment/weapon_templates/</x:v>
      </x:c>
      <x:c r="M321" s="21" t="str"/>
    </x:row>
    <x:row r="322" ht="46" customHeight="1">
      <x:c r="A322" s="24" t="str">
        <x:v>ANIM-318</x:v>
      </x:c>
      <x:c r="B322" s="21" t="str">
        <x:v>Weapon combat</x:v>
      </x:c>
      <x:c r="C322" s="21" t="str">
        <x:v>Firearm: Fire / release</x:v>
      </x:c>
      <x:c r="D322" s="21" t="str">
        <x:v>Third person</x:v>
      </x:c>
      <x:c r="E322" s="21" t="str">
        <x:v>Default</x:v>
      </x:c>
      <x:c r="F322" s="27" t="str">
        <x:v>Conditional</x:v>
      </x:c>
      <x:c r="G322" s="27" t="str">
        <x:v>P1</x:v>
      </x:c>
      <x:c r="H322" s="27" t="str">
        <x:v>Not Started</x:v>
      </x:c>
      <x:c r="I322" s="27" t="str">
        <x:v>Janfon</x:v>
      </x:c>
      <x:c r="J322" s="21" t="str">
        <x:v>FBX clip on canonical Pusfume rig</x:v>
      </x:c>
      <x:c r="K322" s="21" t="str">
        <x:v>Sight/hand alignment remains usable in first person; third-person recoil and reload communicate state to teammates.</x:v>
      </x:c>
      <x:c r="L322" s="21" t="str">
        <x:v>SRC-009: scripts/settings/equipment/weapon_templates/</x:v>
      </x:c>
      <x:c r="M322" s="21" t="str"/>
    </x:row>
    <x:row r="323" ht="46" customHeight="1">
      <x:c r="A323" s="24" t="str">
        <x:v>ANIM-319</x:v>
      </x:c>
      <x:c r="B323" s="21" t="str">
        <x:v>Weapon combat</x:v>
      </x:c>
      <x:c r="C323" s="21" t="str">
        <x:v>Firearm: Fire / release</x:v>
      </x:c>
      <x:c r="D323" s="21" t="str">
        <x:v>First person</x:v>
      </x:c>
      <x:c r="E323" s="21" t="str">
        <x:v>Default</x:v>
      </x:c>
      <x:c r="F323" s="27" t="str">
        <x:v>Conditional</x:v>
      </x:c>
      <x:c r="G323" s="27" t="str">
        <x:v>P1</x:v>
      </x:c>
      <x:c r="H323" s="27" t="str">
        <x:v>Not Started</x:v>
      </x:c>
      <x:c r="I323" s="27" t="str">
        <x:v>Janfon</x:v>
      </x:c>
      <x:c r="J323" s="21" t="str">
        <x:v>FBX clip on canonical Pusfume rig</x:v>
      </x:c>
      <x:c r="K323" s="21" t="str">
        <x:v>Sight/hand alignment remains usable in first person; third-person recoil and reload communicate state to teammates.</x:v>
      </x:c>
      <x:c r="L323" s="21" t="str">
        <x:v>SRC-009: scripts/settings/equipment/weapon_templates/</x:v>
      </x:c>
      <x:c r="M323" s="21" t="str"/>
    </x:row>
    <x:row r="324" ht="46" customHeight="1">
      <x:c r="A324" s="24" t="str">
        <x:v>ANIM-320</x:v>
      </x:c>
      <x:c r="B324" s="21" t="str">
        <x:v>Weapon combat</x:v>
      </x:c>
      <x:c r="C324" s="21" t="str">
        <x:v>Firearm: Recoil</x:v>
      </x:c>
      <x:c r="D324" s="21" t="str">
        <x:v>Third person</x:v>
      </x:c>
      <x:c r="E324" s="21" t="str">
        <x:v>Default</x:v>
      </x:c>
      <x:c r="F324" s="27" t="str">
        <x:v>Conditional</x:v>
      </x:c>
      <x:c r="G324" s="27" t="str">
        <x:v>P2</x:v>
      </x:c>
      <x:c r="H324" s="27" t="str">
        <x:v>Not Started</x:v>
      </x:c>
      <x:c r="I324" s="27" t="str">
        <x:v>Janfon</x:v>
      </x:c>
      <x:c r="J324" s="21" t="str">
        <x:v>FBX clip on canonical Pusfume rig</x:v>
      </x:c>
      <x:c r="K324" s="21" t="str">
        <x:v>Sight/hand alignment remains usable in first person; third-person recoil and reload communicate state to teammates.</x:v>
      </x:c>
      <x:c r="L324" s="21" t="str">
        <x:v>SRC-009: scripts/settings/equipment/weapon_templates/</x:v>
      </x:c>
      <x:c r="M324" s="21" t="str"/>
    </x:row>
    <x:row r="325" ht="46" customHeight="1">
      <x:c r="A325" s="24" t="str">
        <x:v>ANIM-321</x:v>
      </x:c>
      <x:c r="B325" s="21" t="str">
        <x:v>Weapon combat</x:v>
      </x:c>
      <x:c r="C325" s="21" t="str">
        <x:v>Firearm: Recoil</x:v>
      </x:c>
      <x:c r="D325" s="21" t="str">
        <x:v>First person</x:v>
      </x:c>
      <x:c r="E325" s="21" t="str">
        <x:v>Default</x:v>
      </x:c>
      <x:c r="F325" s="27" t="str">
        <x:v>Conditional</x:v>
      </x:c>
      <x:c r="G325" s="27" t="str">
        <x:v>P2</x:v>
      </x:c>
      <x:c r="H325" s="27" t="str">
        <x:v>Not Started</x:v>
      </x:c>
      <x:c r="I325" s="27" t="str">
        <x:v>Janfon</x:v>
      </x:c>
      <x:c r="J325" s="21" t="str">
        <x:v>FBX clip on canonical Pusfume rig</x:v>
      </x:c>
      <x:c r="K325" s="21" t="str">
        <x:v>Sight/hand alignment remains usable in first person; third-person recoil and reload communicate state to teammates.</x:v>
      </x:c>
      <x:c r="L325" s="21" t="str">
        <x:v>SRC-009: scripts/settings/equipment/weapon_templates/</x:v>
      </x:c>
      <x:c r="M325" s="21" t="str"/>
    </x:row>
    <x:row r="326" ht="46" customHeight="1">
      <x:c r="A326" s="24" t="str">
        <x:v>ANIM-322</x:v>
      </x:c>
      <x:c r="B326" s="21" t="str">
        <x:v>Weapon combat</x:v>
      </x:c>
      <x:c r="C326" s="21" t="str">
        <x:v>Firearm: Reload start</x:v>
      </x:c>
      <x:c r="D326" s="21" t="str">
        <x:v>Third person</x:v>
      </x:c>
      <x:c r="E326" s="21" t="str">
        <x:v>Default</x:v>
      </x:c>
      <x:c r="F326" s="27" t="str">
        <x:v>Conditional</x:v>
      </x:c>
      <x:c r="G326" s="27" t="str">
        <x:v>P2</x:v>
      </x:c>
      <x:c r="H326" s="27" t="str">
        <x:v>Not Started</x:v>
      </x:c>
      <x:c r="I326" s="27" t="str">
        <x:v>Janfon</x:v>
      </x:c>
      <x:c r="J326" s="21" t="str">
        <x:v>FBX clip on canonical Pusfume rig</x:v>
      </x:c>
      <x:c r="K326" s="21" t="str">
        <x:v>Sight/hand alignment remains usable in first person; third-person recoil and reload communicate state to teammates.</x:v>
      </x:c>
      <x:c r="L326" s="21" t="str">
        <x:v>SRC-009: scripts/settings/equipment/weapon_templates/</x:v>
      </x:c>
      <x:c r="M326" s="21" t="str"/>
    </x:row>
    <x:row r="327" ht="46" customHeight="1">
      <x:c r="A327" s="24" t="str">
        <x:v>ANIM-323</x:v>
      </x:c>
      <x:c r="B327" s="21" t="str">
        <x:v>Weapon combat</x:v>
      </x:c>
      <x:c r="C327" s="21" t="str">
        <x:v>Firearm: Reload start</x:v>
      </x:c>
      <x:c r="D327" s="21" t="str">
        <x:v>First person</x:v>
      </x:c>
      <x:c r="E327" s="21" t="str">
        <x:v>Default</x:v>
      </x:c>
      <x:c r="F327" s="27" t="str">
        <x:v>Conditional</x:v>
      </x:c>
      <x:c r="G327" s="27" t="str">
        <x:v>P2</x:v>
      </x:c>
      <x:c r="H327" s="27" t="str">
        <x:v>Not Started</x:v>
      </x:c>
      <x:c r="I327" s="27" t="str">
        <x:v>Janfon</x:v>
      </x:c>
      <x:c r="J327" s="21" t="str">
        <x:v>FBX clip on canonical Pusfume rig</x:v>
      </x:c>
      <x:c r="K327" s="21" t="str">
        <x:v>Sight/hand alignment remains usable in first person; third-person recoil and reload communicate state to teammates.</x:v>
      </x:c>
      <x:c r="L327" s="21" t="str">
        <x:v>SRC-009: scripts/settings/equipment/weapon_templates/</x:v>
      </x:c>
      <x:c r="M327" s="21" t="str"/>
    </x:row>
    <x:row r="328" ht="46" customHeight="1">
      <x:c r="A328" s="24" t="str">
        <x:v>ANIM-324</x:v>
      </x:c>
      <x:c r="B328" s="21" t="str">
        <x:v>Weapon combat</x:v>
      </x:c>
      <x:c r="C328" s="21" t="str">
        <x:v>Firearm: Reload loop</x:v>
      </x:c>
      <x:c r="D328" s="21" t="str">
        <x:v>Third person</x:v>
      </x:c>
      <x:c r="E328" s="21" t="str">
        <x:v>Default</x:v>
      </x:c>
      <x:c r="F328" s="27" t="str">
        <x:v>Conditional</x:v>
      </x:c>
      <x:c r="G328" s="27" t="str">
        <x:v>P2</x:v>
      </x:c>
      <x:c r="H328" s="27" t="str">
        <x:v>Not Started</x:v>
      </x:c>
      <x:c r="I328" s="27" t="str">
        <x:v>Janfon</x:v>
      </x:c>
      <x:c r="J328" s="21" t="str">
        <x:v>FBX clip on canonical Pusfume rig</x:v>
      </x:c>
      <x:c r="K328" s="21" t="str">
        <x:v>Sight/hand alignment remains usable in first person; third-person recoil and reload communicate state to teammates.</x:v>
      </x:c>
      <x:c r="L328" s="21" t="str">
        <x:v>SRC-009: scripts/settings/equipment/weapon_templates/</x:v>
      </x:c>
      <x:c r="M328" s="21" t="str"/>
    </x:row>
    <x:row r="329" ht="46" customHeight="1">
      <x:c r="A329" s="24" t="str">
        <x:v>ANIM-325</x:v>
      </x:c>
      <x:c r="B329" s="21" t="str">
        <x:v>Weapon combat</x:v>
      </x:c>
      <x:c r="C329" s="21" t="str">
        <x:v>Firearm: Reload loop</x:v>
      </x:c>
      <x:c r="D329" s="21" t="str">
        <x:v>First person</x:v>
      </x:c>
      <x:c r="E329" s="21" t="str">
        <x:v>Default</x:v>
      </x:c>
      <x:c r="F329" s="27" t="str">
        <x:v>Conditional</x:v>
      </x:c>
      <x:c r="G329" s="27" t="str">
        <x:v>P2</x:v>
      </x:c>
      <x:c r="H329" s="27" t="str">
        <x:v>Not Started</x:v>
      </x:c>
      <x:c r="I329" s="27" t="str">
        <x:v>Janfon</x:v>
      </x:c>
      <x:c r="J329" s="21" t="str">
        <x:v>FBX clip on canonical Pusfume rig</x:v>
      </x:c>
      <x:c r="K329" s="21" t="str">
        <x:v>Sight/hand alignment remains usable in first person; third-person recoil and reload communicate state to teammates.</x:v>
      </x:c>
      <x:c r="L329" s="21" t="str">
        <x:v>SRC-009: scripts/settings/equipment/weapon_templates/</x:v>
      </x:c>
      <x:c r="M329" s="21" t="str"/>
    </x:row>
    <x:row r="330" ht="46" customHeight="1">
      <x:c r="A330" s="24" t="str">
        <x:v>ANIM-326</x:v>
      </x:c>
      <x:c r="B330" s="21" t="str">
        <x:v>Weapon combat</x:v>
      </x:c>
      <x:c r="C330" s="21" t="str">
        <x:v>Firearm: Reload finish</x:v>
      </x:c>
      <x:c r="D330" s="21" t="str">
        <x:v>Third person</x:v>
      </x:c>
      <x:c r="E330" s="21" t="str">
        <x:v>Default</x:v>
      </x:c>
      <x:c r="F330" s="27" t="str">
        <x:v>Conditional</x:v>
      </x:c>
      <x:c r="G330" s="27" t="str">
        <x:v>P2</x:v>
      </x:c>
      <x:c r="H330" s="27" t="str">
        <x:v>Not Started</x:v>
      </x:c>
      <x:c r="I330" s="27" t="str">
        <x:v>Janfon</x:v>
      </x:c>
      <x:c r="J330" s="21" t="str">
        <x:v>FBX clip on canonical Pusfume rig</x:v>
      </x:c>
      <x:c r="K330" s="21" t="str">
        <x:v>Sight/hand alignment remains usable in first person; third-person recoil and reload communicate state to teammates.</x:v>
      </x:c>
      <x:c r="L330" s="21" t="str">
        <x:v>SRC-009: scripts/settings/equipment/weapon_templates/</x:v>
      </x:c>
      <x:c r="M330" s="21" t="str"/>
    </x:row>
    <x:row r="331" ht="46" customHeight="1">
      <x:c r="A331" s="24" t="str">
        <x:v>ANIM-327</x:v>
      </x:c>
      <x:c r="B331" s="21" t="str">
        <x:v>Weapon combat</x:v>
      </x:c>
      <x:c r="C331" s="21" t="str">
        <x:v>Firearm: Reload finish</x:v>
      </x:c>
      <x:c r="D331" s="21" t="str">
        <x:v>First person</x:v>
      </x:c>
      <x:c r="E331" s="21" t="str">
        <x:v>Default</x:v>
      </x:c>
      <x:c r="F331" s="27" t="str">
        <x:v>Conditional</x:v>
      </x:c>
      <x:c r="G331" s="27" t="str">
        <x:v>P2</x:v>
      </x:c>
      <x:c r="H331" s="27" t="str">
        <x:v>Not Started</x:v>
      </x:c>
      <x:c r="I331" s="27" t="str">
        <x:v>Janfon</x:v>
      </x:c>
      <x:c r="J331" s="21" t="str">
        <x:v>FBX clip on canonical Pusfume rig</x:v>
      </x:c>
      <x:c r="K331" s="21" t="str">
        <x:v>Sight/hand alignment remains usable in first person; third-person recoil and reload communicate state to teammates.</x:v>
      </x:c>
      <x:c r="L331" s="21" t="str">
        <x:v>SRC-009: scripts/settings/equipment/weapon_templates/</x:v>
      </x:c>
      <x:c r="M331" s="21" t="str"/>
    </x:row>
    <x:row r="332" ht="46" customHeight="1">
      <x:c r="A332" s="24" t="str">
        <x:v>ANIM-328</x:v>
      </x:c>
      <x:c r="B332" s="21" t="str">
        <x:v>Weapon combat</x:v>
      </x:c>
      <x:c r="C332" s="21" t="str">
        <x:v>Firearm: Dry fire</x:v>
      </x:c>
      <x:c r="D332" s="21" t="str">
        <x:v>Third person</x:v>
      </x:c>
      <x:c r="E332" s="21" t="str">
        <x:v>Default</x:v>
      </x:c>
      <x:c r="F332" s="27" t="str">
        <x:v>Conditional</x:v>
      </x:c>
      <x:c r="G332" s="27" t="str">
        <x:v>P2</x:v>
      </x:c>
      <x:c r="H332" s="27" t="str">
        <x:v>Not Started</x:v>
      </x:c>
      <x:c r="I332" s="27" t="str">
        <x:v>Janfon</x:v>
      </x:c>
      <x:c r="J332" s="21" t="str">
        <x:v>FBX clip on canonical Pusfume rig</x:v>
      </x:c>
      <x:c r="K332" s="21" t="str">
        <x:v>Sight/hand alignment remains usable in first person; third-person recoil and reload communicate state to teammates.</x:v>
      </x:c>
      <x:c r="L332" s="21" t="str">
        <x:v>SRC-009: scripts/settings/equipment/weapon_templates/</x:v>
      </x:c>
      <x:c r="M332" s="21" t="str"/>
    </x:row>
    <x:row r="333" ht="46" customHeight="1">
      <x:c r="A333" s="24" t="str">
        <x:v>ANIM-329</x:v>
      </x:c>
      <x:c r="B333" s="21" t="str">
        <x:v>Weapon combat</x:v>
      </x:c>
      <x:c r="C333" s="21" t="str">
        <x:v>Firearm: Dry fire</x:v>
      </x:c>
      <x:c r="D333" s="21" t="str">
        <x:v>First person</x:v>
      </x:c>
      <x:c r="E333" s="21" t="str">
        <x:v>Default</x:v>
      </x:c>
      <x:c r="F333" s="27" t="str">
        <x:v>Conditional</x:v>
      </x:c>
      <x:c r="G333" s="27" t="str">
        <x:v>P2</x:v>
      </x:c>
      <x:c r="H333" s="27" t="str">
        <x:v>Not Started</x:v>
      </x:c>
      <x:c r="I333" s="27" t="str">
        <x:v>Janfon</x:v>
      </x:c>
      <x:c r="J333" s="21" t="str">
        <x:v>FBX clip on canonical Pusfume rig</x:v>
      </x:c>
      <x:c r="K333" s="21" t="str">
        <x:v>Sight/hand alignment remains usable in first person; third-person recoil and reload communicate state to teammates.</x:v>
      </x:c>
      <x:c r="L333" s="21" t="str">
        <x:v>SRC-009: scripts/settings/equipment/weapon_templates/</x:v>
      </x:c>
      <x:c r="M333" s="21" t="str"/>
    </x:row>
    <x:row r="334" ht="46" customHeight="1">
      <x:c r="A334" s="24" t="str">
        <x:v>ANIM-330</x:v>
      </x:c>
      <x:c r="B334" s="21" t="str">
        <x:v>Weapon combat</x:v>
      </x:c>
      <x:c r="C334" s="21" t="str">
        <x:v>Firearm: Cancel / lower</x:v>
      </x:c>
      <x:c r="D334" s="21" t="str">
        <x:v>Third person</x:v>
      </x:c>
      <x:c r="E334" s="21" t="str">
        <x:v>Default</x:v>
      </x:c>
      <x:c r="F334" s="27" t="str">
        <x:v>Conditional</x:v>
      </x:c>
      <x:c r="G334" s="27" t="str">
        <x:v>P2</x:v>
      </x:c>
      <x:c r="H334" s="27" t="str">
        <x:v>Not Started</x:v>
      </x:c>
      <x:c r="I334" s="27" t="str">
        <x:v>Janfon</x:v>
      </x:c>
      <x:c r="J334" s="21" t="str">
        <x:v>FBX clip on canonical Pusfume rig</x:v>
      </x:c>
      <x:c r="K334" s="21" t="str">
        <x:v>Sight/hand alignment remains usable in first person; third-person recoil and reload communicate state to teammates.</x:v>
      </x:c>
      <x:c r="L334" s="21" t="str">
        <x:v>SRC-009: scripts/settings/equipment/weapon_templates/</x:v>
      </x:c>
      <x:c r="M334" s="21" t="str"/>
    </x:row>
    <x:row r="335" ht="46" customHeight="1">
      <x:c r="A335" s="24" t="str">
        <x:v>ANIM-331</x:v>
      </x:c>
      <x:c r="B335" s="21" t="str">
        <x:v>Weapon combat</x:v>
      </x:c>
      <x:c r="C335" s="21" t="str">
        <x:v>Firearm: Cancel / lower</x:v>
      </x:c>
      <x:c r="D335" s="21" t="str">
        <x:v>First person</x:v>
      </x:c>
      <x:c r="E335" s="21" t="str">
        <x:v>Default</x:v>
      </x:c>
      <x:c r="F335" s="27" t="str">
        <x:v>Conditional</x:v>
      </x:c>
      <x:c r="G335" s="27" t="str">
        <x:v>P2</x:v>
      </x:c>
      <x:c r="H335" s="27" t="str">
        <x:v>Not Started</x:v>
      </x:c>
      <x:c r="I335" s="27" t="str">
        <x:v>Janfon</x:v>
      </x:c>
      <x:c r="J335" s="21" t="str">
        <x:v>FBX clip on canonical Pusfume rig</x:v>
      </x:c>
      <x:c r="K335" s="21" t="str">
        <x:v>Sight/hand alignment remains usable in first person; third-person recoil and reload communicate state to teammates.</x:v>
      </x:c>
      <x:c r="L335" s="21" t="str">
        <x:v>SRC-009: scripts/settings/equipment/weapon_templates/</x:v>
      </x:c>
      <x:c r="M335" s="21" t="str"/>
    </x:row>
    <x:row r="336" ht="46" customHeight="1">
      <x:c r="A336" s="24" t="str">
        <x:v>ANIM-332</x:v>
      </x:c>
      <x:c r="B336" s="21" t="str">
        <x:v>Weapon combat</x:v>
      </x:c>
      <x:c r="C336" s="21" t="str">
        <x:v>Firearm: Throw charge</x:v>
      </x:c>
      <x:c r="D336" s="21" t="str">
        <x:v>Third person</x:v>
      </x:c>
      <x:c r="E336" s="21" t="str">
        <x:v>Default</x:v>
      </x:c>
      <x:c r="F336" s="27" t="str">
        <x:v>Conditional</x:v>
      </x:c>
      <x:c r="G336" s="27" t="str">
        <x:v>P2</x:v>
      </x:c>
      <x:c r="H336" s="27" t="str">
        <x:v>Not Started</x:v>
      </x:c>
      <x:c r="I336" s="27" t="str">
        <x:v>Janfon</x:v>
      </x:c>
      <x:c r="J336" s="21" t="str">
        <x:v>FBX clip on canonical Pusfume rig</x:v>
      </x:c>
      <x:c r="K336" s="21" t="str">
        <x:v>Sight/hand alignment remains usable in first person; third-person recoil and reload communicate state to teammates.</x:v>
      </x:c>
      <x:c r="L336" s="21" t="str">
        <x:v>SRC-009: scripts/settings/equipment/weapon_templates/</x:v>
      </x:c>
      <x:c r="M336" s="21" t="str"/>
    </x:row>
    <x:row r="337" ht="46" customHeight="1">
      <x:c r="A337" s="24" t="str">
        <x:v>ANIM-333</x:v>
      </x:c>
      <x:c r="B337" s="21" t="str">
        <x:v>Weapon combat</x:v>
      </x:c>
      <x:c r="C337" s="21" t="str">
        <x:v>Firearm: Throw charge</x:v>
      </x:c>
      <x:c r="D337" s="21" t="str">
        <x:v>First person</x:v>
      </x:c>
      <x:c r="E337" s="21" t="str">
        <x:v>Default</x:v>
      </x:c>
      <x:c r="F337" s="27" t="str">
        <x:v>Conditional</x:v>
      </x:c>
      <x:c r="G337" s="27" t="str">
        <x:v>P2</x:v>
      </x:c>
      <x:c r="H337" s="27" t="str">
        <x:v>Not Started</x:v>
      </x:c>
      <x:c r="I337" s="27" t="str">
        <x:v>Janfon</x:v>
      </x:c>
      <x:c r="J337" s="21" t="str">
        <x:v>FBX clip on canonical Pusfume rig</x:v>
      </x:c>
      <x:c r="K337" s="21" t="str">
        <x:v>Sight/hand alignment remains usable in first person; third-person recoil and reload communicate state to teammates.</x:v>
      </x:c>
      <x:c r="L337" s="21" t="str">
        <x:v>SRC-009: scripts/settings/equipment/weapon_templates/</x:v>
      </x:c>
      <x:c r="M337" s="21" t="str"/>
    </x:row>
    <x:row r="338" ht="46" customHeight="1">
      <x:c r="A338" s="24" t="str">
        <x:v>ANIM-334</x:v>
      </x:c>
      <x:c r="B338" s="21" t="str">
        <x:v>Weapon combat</x:v>
      </x:c>
      <x:c r="C338" s="21" t="str">
        <x:v>Firearm: Throw release</x:v>
      </x:c>
      <x:c r="D338" s="21" t="str">
        <x:v>Third person</x:v>
      </x:c>
      <x:c r="E338" s="21" t="str">
        <x:v>Default</x:v>
      </x:c>
      <x:c r="F338" s="27" t="str">
        <x:v>Conditional</x:v>
      </x:c>
      <x:c r="G338" s="27" t="str">
        <x:v>P1</x:v>
      </x:c>
      <x:c r="H338" s="27" t="str">
        <x:v>Not Started</x:v>
      </x:c>
      <x:c r="I338" s="27" t="str">
        <x:v>Janfon</x:v>
      </x:c>
      <x:c r="J338" s="21" t="str">
        <x:v>FBX clip on canonical Pusfume rig</x:v>
      </x:c>
      <x:c r="K338" s="21" t="str">
        <x:v>Sight/hand alignment remains usable in first person; third-person recoil and reload communicate state to teammates.</x:v>
      </x:c>
      <x:c r="L338" s="21" t="str">
        <x:v>SRC-009: scripts/settings/equipment/weapon_templates/</x:v>
      </x:c>
      <x:c r="M338" s="21" t="str"/>
    </x:row>
    <x:row r="339" ht="46" customHeight="1">
      <x:c r="A339" s="24" t="str">
        <x:v>ANIM-335</x:v>
      </x:c>
      <x:c r="B339" s="21" t="str">
        <x:v>Weapon combat</x:v>
      </x:c>
      <x:c r="C339" s="21" t="str">
        <x:v>Firearm: Throw release</x:v>
      </x:c>
      <x:c r="D339" s="21" t="str">
        <x:v>First person</x:v>
      </x:c>
      <x:c r="E339" s="21" t="str">
        <x:v>Default</x:v>
      </x:c>
      <x:c r="F339" s="27" t="str">
        <x:v>Conditional</x:v>
      </x:c>
      <x:c r="G339" s="27" t="str">
        <x:v>P1</x:v>
      </x:c>
      <x:c r="H339" s="27" t="str">
        <x:v>Not Started</x:v>
      </x:c>
      <x:c r="I339" s="27" t="str">
        <x:v>Janfon</x:v>
      </x:c>
      <x:c r="J339" s="21" t="str">
        <x:v>FBX clip on canonical Pusfume rig</x:v>
      </x:c>
      <x:c r="K339" s="21" t="str">
        <x:v>Sight/hand alignment remains usable in first person; third-person recoil and reload communicate state to teammates.</x:v>
      </x:c>
      <x:c r="L339" s="21" t="str">
        <x:v>SRC-009: scripts/settings/equipment/weapon_templates/</x:v>
      </x:c>
      <x:c r="M339" s="21" t="str"/>
    </x:row>
    <x:row r="340" ht="46" customHeight="1">
      <x:c r="A340" s="24" t="str">
        <x:v>ANIM-336</x:v>
      </x:c>
      <x:c r="B340" s="21" t="str">
        <x:v>Weapon combat</x:v>
      </x:c>
      <x:c r="C340" s="21" t="str">
        <x:v>Thrown weapon: Equip / draw</x:v>
      </x:c>
      <x:c r="D340" s="21" t="str">
        <x:v>Third person</x:v>
      </x:c>
      <x:c r="E340" s="21" t="str">
        <x:v>Default</x:v>
      </x:c>
      <x:c r="F340" s="27" t="str">
        <x:v>Conditional</x:v>
      </x:c>
      <x:c r="G340" s="27" t="str">
        <x:v>P2</x:v>
      </x:c>
      <x:c r="H340" s="27" t="str">
        <x:v>Not Started</x:v>
      </x:c>
      <x:c r="I340" s="27" t="str">
        <x:v>Janfon</x:v>
      </x:c>
      <x:c r="J340" s="21" t="str">
        <x:v>FBX clip on canonical Pusfume rig</x:v>
      </x:c>
      <x:c r="K340" s="21" t="str">
        <x:v>Sight/hand alignment remains usable in first person; third-person recoil and reload communicate state to teammates.</x:v>
      </x:c>
      <x:c r="L340" s="21" t="str">
        <x:v>SRC-009: scripts/settings/equipment/weapon_templates/</x:v>
      </x:c>
      <x:c r="M340" s="21" t="str"/>
    </x:row>
    <x:row r="341" ht="46" customHeight="1">
      <x:c r="A341" s="24" t="str">
        <x:v>ANIM-337</x:v>
      </x:c>
      <x:c r="B341" s="21" t="str">
        <x:v>Weapon combat</x:v>
      </x:c>
      <x:c r="C341" s="21" t="str">
        <x:v>Thrown weapon: Equip / draw</x:v>
      </x:c>
      <x:c r="D341" s="21" t="str">
        <x:v>First person</x:v>
      </x:c>
      <x:c r="E341" s="21" t="str">
        <x:v>Default</x:v>
      </x:c>
      <x:c r="F341" s="27" t="str">
        <x:v>Conditional</x:v>
      </x:c>
      <x:c r="G341" s="27" t="str">
        <x:v>P2</x:v>
      </x:c>
      <x:c r="H341" s="27" t="str">
        <x:v>Not Started</x:v>
      </x:c>
      <x:c r="I341" s="27" t="str">
        <x:v>Janfon</x:v>
      </x:c>
      <x:c r="J341" s="21" t="str">
        <x:v>FBX clip on canonical Pusfume rig</x:v>
      </x:c>
      <x:c r="K341" s="21" t="str">
        <x:v>Sight/hand alignment remains usable in first person; third-person recoil and reload communicate state to teammates.</x:v>
      </x:c>
      <x:c r="L341" s="21" t="str">
        <x:v>SRC-009: scripts/settings/equipment/weapon_templates/</x:v>
      </x:c>
      <x:c r="M341" s="21" t="str"/>
    </x:row>
    <x:row r="342" ht="46" customHeight="1">
      <x:c r="A342" s="24" t="str">
        <x:v>ANIM-338</x:v>
      </x:c>
      <x:c r="B342" s="21" t="str">
        <x:v>Weapon combat</x:v>
      </x:c>
      <x:c r="C342" s="21" t="str">
        <x:v>Thrown weapon: Weapon idle</x:v>
      </x:c>
      <x:c r="D342" s="21" t="str">
        <x:v>Third person</x:v>
      </x:c>
      <x:c r="E342" s="21" t="str">
        <x:v>Default</x:v>
      </x:c>
      <x:c r="F342" s="27" t="str">
        <x:v>Conditional</x:v>
      </x:c>
      <x:c r="G342" s="27" t="str">
        <x:v>P1</x:v>
      </x:c>
      <x:c r="H342" s="27" t="str">
        <x:v>Not Started</x:v>
      </x:c>
      <x:c r="I342" s="27" t="str">
        <x:v>Janfon</x:v>
      </x:c>
      <x:c r="J342" s="21" t="str">
        <x:v>FBX clip on canonical Pusfume rig</x:v>
      </x:c>
      <x:c r="K342" s="21" t="str">
        <x:v>Sight/hand alignment remains usable in first person; third-person recoil and reload communicate state to teammates.</x:v>
      </x:c>
      <x:c r="L342" s="21" t="str">
        <x:v>SRC-009: scripts/settings/equipment/weapon_templates/</x:v>
      </x:c>
      <x:c r="M342" s="21" t="str"/>
    </x:row>
    <x:row r="343" ht="46" customHeight="1">
      <x:c r="A343" s="24" t="str">
        <x:v>ANIM-339</x:v>
      </x:c>
      <x:c r="B343" s="21" t="str">
        <x:v>Weapon combat</x:v>
      </x:c>
      <x:c r="C343" s="21" t="str">
        <x:v>Thrown weapon: Weapon idle</x:v>
      </x:c>
      <x:c r="D343" s="21" t="str">
        <x:v>First person</x:v>
      </x:c>
      <x:c r="E343" s="21" t="str">
        <x:v>Default</x:v>
      </x:c>
      <x:c r="F343" s="27" t="str">
        <x:v>Conditional</x:v>
      </x:c>
      <x:c r="G343" s="27" t="str">
        <x:v>P1</x:v>
      </x:c>
      <x:c r="H343" s="27" t="str">
        <x:v>Not Started</x:v>
      </x:c>
      <x:c r="I343" s="27" t="str">
        <x:v>Janfon</x:v>
      </x:c>
      <x:c r="J343" s="21" t="str">
        <x:v>FBX clip on canonical Pusfume rig</x:v>
      </x:c>
      <x:c r="K343" s="21" t="str">
        <x:v>Sight/hand alignment remains usable in first person; third-person recoil and reload communicate state to teammates.</x:v>
      </x:c>
      <x:c r="L343" s="21" t="str">
        <x:v>SRC-009: scripts/settings/equipment/weapon_templates/</x:v>
      </x:c>
      <x:c r="M343" s="21" t="str"/>
    </x:row>
    <x:row r="344" ht="46" customHeight="1">
      <x:c r="A344" s="24" t="str">
        <x:v>ANIM-340</x:v>
      </x:c>
      <x:c r="B344" s="21" t="str">
        <x:v>Weapon combat</x:v>
      </x:c>
      <x:c r="C344" s="21" t="str">
        <x:v>Thrown weapon: Aim enter</x:v>
      </x:c>
      <x:c r="D344" s="21" t="str">
        <x:v>Third person</x:v>
      </x:c>
      <x:c r="E344" s="21" t="str">
        <x:v>Default</x:v>
      </x:c>
      <x:c r="F344" s="27" t="str">
        <x:v>Conditional</x:v>
      </x:c>
      <x:c r="G344" s="27" t="str">
        <x:v>P2</x:v>
      </x:c>
      <x:c r="H344" s="27" t="str">
        <x:v>Not Started</x:v>
      </x:c>
      <x:c r="I344" s="27" t="str">
        <x:v>Janfon</x:v>
      </x:c>
      <x:c r="J344" s="21" t="str">
        <x:v>FBX clip on canonical Pusfume rig</x:v>
      </x:c>
      <x:c r="K344" s="21" t="str">
        <x:v>Sight/hand alignment remains usable in first person; third-person recoil and reload communicate state to teammates.</x:v>
      </x:c>
      <x:c r="L344" s="21" t="str">
        <x:v>SRC-009: scripts/settings/equipment/weapon_templates/</x:v>
      </x:c>
      <x:c r="M344" s="21" t="str"/>
    </x:row>
    <x:row r="345" ht="46" customHeight="1">
      <x:c r="A345" s="24" t="str">
        <x:v>ANIM-341</x:v>
      </x:c>
      <x:c r="B345" s="21" t="str">
        <x:v>Weapon combat</x:v>
      </x:c>
      <x:c r="C345" s="21" t="str">
        <x:v>Thrown weapon: Aim enter</x:v>
      </x:c>
      <x:c r="D345" s="21" t="str">
        <x:v>First person</x:v>
      </x:c>
      <x:c r="E345" s="21" t="str">
        <x:v>Default</x:v>
      </x:c>
      <x:c r="F345" s="27" t="str">
        <x:v>Conditional</x:v>
      </x:c>
      <x:c r="G345" s="27" t="str">
        <x:v>P2</x:v>
      </x:c>
      <x:c r="H345" s="27" t="str">
        <x:v>Not Started</x:v>
      </x:c>
      <x:c r="I345" s="27" t="str">
        <x:v>Janfon</x:v>
      </x:c>
      <x:c r="J345" s="21" t="str">
        <x:v>FBX clip on canonical Pusfume rig</x:v>
      </x:c>
      <x:c r="K345" s="21" t="str">
        <x:v>Sight/hand alignment remains usable in first person; third-person recoil and reload communicate state to teammates.</x:v>
      </x:c>
      <x:c r="L345" s="21" t="str">
        <x:v>SRC-009: scripts/settings/equipment/weapon_templates/</x:v>
      </x:c>
      <x:c r="M345" s="21" t="str"/>
    </x:row>
    <x:row r="346" ht="46" customHeight="1">
      <x:c r="A346" s="24" t="str">
        <x:v>ANIM-342</x:v>
      </x:c>
      <x:c r="B346" s="21" t="str">
        <x:v>Weapon combat</x:v>
      </x:c>
      <x:c r="C346" s="21" t="str">
        <x:v>Thrown weapon: Aim idle</x:v>
      </x:c>
      <x:c r="D346" s="21" t="str">
        <x:v>Third person</x:v>
      </x:c>
      <x:c r="E346" s="21" t="str">
        <x:v>Default</x:v>
      </x:c>
      <x:c r="F346" s="27" t="str">
        <x:v>Conditional</x:v>
      </x:c>
      <x:c r="G346" s="27" t="str">
        <x:v>P1</x:v>
      </x:c>
      <x:c r="H346" s="27" t="str">
        <x:v>Not Started</x:v>
      </x:c>
      <x:c r="I346" s="27" t="str">
        <x:v>Janfon</x:v>
      </x:c>
      <x:c r="J346" s="21" t="str">
        <x:v>FBX clip on canonical Pusfume rig</x:v>
      </x:c>
      <x:c r="K346" s="21" t="str">
        <x:v>Sight/hand alignment remains usable in first person; third-person recoil and reload communicate state to teammates.</x:v>
      </x:c>
      <x:c r="L346" s="21" t="str">
        <x:v>SRC-009: scripts/settings/equipment/weapon_templates/</x:v>
      </x:c>
      <x:c r="M346" s="21" t="str"/>
    </x:row>
    <x:row r="347" ht="46" customHeight="1">
      <x:c r="A347" s="24" t="str">
        <x:v>ANIM-343</x:v>
      </x:c>
      <x:c r="B347" s="21" t="str">
        <x:v>Weapon combat</x:v>
      </x:c>
      <x:c r="C347" s="21" t="str">
        <x:v>Thrown weapon: Aim idle</x:v>
      </x:c>
      <x:c r="D347" s="21" t="str">
        <x:v>First person</x:v>
      </x:c>
      <x:c r="E347" s="21" t="str">
        <x:v>Default</x:v>
      </x:c>
      <x:c r="F347" s="27" t="str">
        <x:v>Conditional</x:v>
      </x:c>
      <x:c r="G347" s="27" t="str">
        <x:v>P1</x:v>
      </x:c>
      <x:c r="H347" s="27" t="str">
        <x:v>Not Started</x:v>
      </x:c>
      <x:c r="I347" s="27" t="str">
        <x:v>Janfon</x:v>
      </x:c>
      <x:c r="J347" s="21" t="str">
        <x:v>FBX clip on canonical Pusfume rig</x:v>
      </x:c>
      <x:c r="K347" s="21" t="str">
        <x:v>Sight/hand alignment remains usable in first person; third-person recoil and reload communicate state to teammates.</x:v>
      </x:c>
      <x:c r="L347" s="21" t="str">
        <x:v>SRC-009: scripts/settings/equipment/weapon_templates/</x:v>
      </x:c>
      <x:c r="M347" s="21" t="str"/>
    </x:row>
    <x:row r="348" ht="46" customHeight="1">
      <x:c r="A348" s="24" t="str">
        <x:v>ANIM-344</x:v>
      </x:c>
      <x:c r="B348" s="21" t="str">
        <x:v>Weapon combat</x:v>
      </x:c>
      <x:c r="C348" s="21" t="str">
        <x:v>Thrown weapon: Aim exit</x:v>
      </x:c>
      <x:c r="D348" s="21" t="str">
        <x:v>Third person</x:v>
      </x:c>
      <x:c r="E348" s="21" t="str">
        <x:v>Default</x:v>
      </x:c>
      <x:c r="F348" s="27" t="str">
        <x:v>Conditional</x:v>
      </x:c>
      <x:c r="G348" s="27" t="str">
        <x:v>P2</x:v>
      </x:c>
      <x:c r="H348" s="27" t="str">
        <x:v>Not Started</x:v>
      </x:c>
      <x:c r="I348" s="27" t="str">
        <x:v>Janfon</x:v>
      </x:c>
      <x:c r="J348" s="21" t="str">
        <x:v>FBX clip on canonical Pusfume rig</x:v>
      </x:c>
      <x:c r="K348" s="21" t="str">
        <x:v>Sight/hand alignment remains usable in first person; third-person recoil and reload communicate state to teammates.</x:v>
      </x:c>
      <x:c r="L348" s="21" t="str">
        <x:v>SRC-009: scripts/settings/equipment/weapon_templates/</x:v>
      </x:c>
      <x:c r="M348" s="21" t="str"/>
    </x:row>
    <x:row r="349" ht="46" customHeight="1">
      <x:c r="A349" s="24" t="str">
        <x:v>ANIM-345</x:v>
      </x:c>
      <x:c r="B349" s="21" t="str">
        <x:v>Weapon combat</x:v>
      </x:c>
      <x:c r="C349" s="21" t="str">
        <x:v>Thrown weapon: Aim exit</x:v>
      </x:c>
      <x:c r="D349" s="21" t="str">
        <x:v>First person</x:v>
      </x:c>
      <x:c r="E349" s="21" t="str">
        <x:v>Default</x:v>
      </x:c>
      <x:c r="F349" s="27" t="str">
        <x:v>Conditional</x:v>
      </x:c>
      <x:c r="G349" s="27" t="str">
        <x:v>P2</x:v>
      </x:c>
      <x:c r="H349" s="27" t="str">
        <x:v>Not Started</x:v>
      </x:c>
      <x:c r="I349" s="27" t="str">
        <x:v>Janfon</x:v>
      </x:c>
      <x:c r="J349" s="21" t="str">
        <x:v>FBX clip on canonical Pusfume rig</x:v>
      </x:c>
      <x:c r="K349" s="21" t="str">
        <x:v>Sight/hand alignment remains usable in first person; third-person recoil and reload communicate state to teammates.</x:v>
      </x:c>
      <x:c r="L349" s="21" t="str">
        <x:v>SRC-009: scripts/settings/equipment/weapon_templates/</x:v>
      </x:c>
      <x:c r="M349" s="21" t="str"/>
    </x:row>
    <x:row r="350" ht="46" customHeight="1">
      <x:c r="A350" s="24" t="str">
        <x:v>ANIM-346</x:v>
      </x:c>
      <x:c r="B350" s="21" t="str">
        <x:v>Weapon combat</x:v>
      </x:c>
      <x:c r="C350" s="21" t="str">
        <x:v>Thrown weapon: Cancel / lower</x:v>
      </x:c>
      <x:c r="D350" s="21" t="str">
        <x:v>Third person</x:v>
      </x:c>
      <x:c r="E350" s="21" t="str">
        <x:v>Default</x:v>
      </x:c>
      <x:c r="F350" s="27" t="str">
        <x:v>Conditional</x:v>
      </x:c>
      <x:c r="G350" s="27" t="str">
        <x:v>P2</x:v>
      </x:c>
      <x:c r="H350" s="27" t="str">
        <x:v>Not Started</x:v>
      </x:c>
      <x:c r="I350" s="27" t="str">
        <x:v>Janfon</x:v>
      </x:c>
      <x:c r="J350" s="21" t="str">
        <x:v>FBX clip on canonical Pusfume rig</x:v>
      </x:c>
      <x:c r="K350" s="21" t="str">
        <x:v>Sight/hand alignment remains usable in first person; third-person recoil and reload communicate state to teammates.</x:v>
      </x:c>
      <x:c r="L350" s="21" t="str">
        <x:v>SRC-009: scripts/settings/equipment/weapon_templates/</x:v>
      </x:c>
      <x:c r="M350" s="21" t="str"/>
    </x:row>
    <x:row r="351" ht="46" customHeight="1">
      <x:c r="A351" s="24" t="str">
        <x:v>ANIM-347</x:v>
      </x:c>
      <x:c r="B351" s="21" t="str">
        <x:v>Weapon combat</x:v>
      </x:c>
      <x:c r="C351" s="21" t="str">
        <x:v>Thrown weapon: Cancel / lower</x:v>
      </x:c>
      <x:c r="D351" s="21" t="str">
        <x:v>First person</x:v>
      </x:c>
      <x:c r="E351" s="21" t="str">
        <x:v>Default</x:v>
      </x:c>
      <x:c r="F351" s="27" t="str">
        <x:v>Conditional</x:v>
      </x:c>
      <x:c r="G351" s="27" t="str">
        <x:v>P2</x:v>
      </x:c>
      <x:c r="H351" s="27" t="str">
        <x:v>Not Started</x:v>
      </x:c>
      <x:c r="I351" s="27" t="str">
        <x:v>Janfon</x:v>
      </x:c>
      <x:c r="J351" s="21" t="str">
        <x:v>FBX clip on canonical Pusfume rig</x:v>
      </x:c>
      <x:c r="K351" s="21" t="str">
        <x:v>Sight/hand alignment remains usable in first person; third-person recoil and reload communicate state to teammates.</x:v>
      </x:c>
      <x:c r="L351" s="21" t="str">
        <x:v>SRC-009: scripts/settings/equipment/weapon_templates/</x:v>
      </x:c>
      <x:c r="M351" s="21" t="str"/>
    </x:row>
    <x:row r="352" ht="46" customHeight="1">
      <x:c r="A352" s="24" t="str">
        <x:v>ANIM-348</x:v>
      </x:c>
      <x:c r="B352" s="21" t="str">
        <x:v>Weapon combat</x:v>
      </x:c>
      <x:c r="C352" s="21" t="str">
        <x:v>Thrown weapon: Throw charge</x:v>
      </x:c>
      <x:c r="D352" s="21" t="str">
        <x:v>Third person</x:v>
      </x:c>
      <x:c r="E352" s="21" t="str">
        <x:v>Default</x:v>
      </x:c>
      <x:c r="F352" s="27" t="str">
        <x:v>Conditional</x:v>
      </x:c>
      <x:c r="G352" s="27" t="str">
        <x:v>P2</x:v>
      </x:c>
      <x:c r="H352" s="27" t="str">
        <x:v>Not Started</x:v>
      </x:c>
      <x:c r="I352" s="27" t="str">
        <x:v>Janfon</x:v>
      </x:c>
      <x:c r="J352" s="21" t="str">
        <x:v>FBX clip on canonical Pusfume rig</x:v>
      </x:c>
      <x:c r="K352" s="21" t="str">
        <x:v>Sight/hand alignment remains usable in first person; third-person recoil and reload communicate state to teammates.</x:v>
      </x:c>
      <x:c r="L352" s="21" t="str">
        <x:v>SRC-009: scripts/settings/equipment/weapon_templates/</x:v>
      </x:c>
      <x:c r="M352" s="21" t="str"/>
    </x:row>
    <x:row r="353" ht="46" customHeight="1">
      <x:c r="A353" s="24" t="str">
        <x:v>ANIM-349</x:v>
      </x:c>
      <x:c r="B353" s="21" t="str">
        <x:v>Weapon combat</x:v>
      </x:c>
      <x:c r="C353" s="21" t="str">
        <x:v>Thrown weapon: Throw charge</x:v>
      </x:c>
      <x:c r="D353" s="21" t="str">
        <x:v>First person</x:v>
      </x:c>
      <x:c r="E353" s="21" t="str">
        <x:v>Default</x:v>
      </x:c>
      <x:c r="F353" s="27" t="str">
        <x:v>Conditional</x:v>
      </x:c>
      <x:c r="G353" s="27" t="str">
        <x:v>P2</x:v>
      </x:c>
      <x:c r="H353" s="27" t="str">
        <x:v>Not Started</x:v>
      </x:c>
      <x:c r="I353" s="27" t="str">
        <x:v>Janfon</x:v>
      </x:c>
      <x:c r="J353" s="21" t="str">
        <x:v>FBX clip on canonical Pusfume rig</x:v>
      </x:c>
      <x:c r="K353" s="21" t="str">
        <x:v>Sight/hand alignment remains usable in first person; third-person recoil and reload communicate state to teammates.</x:v>
      </x:c>
      <x:c r="L353" s="21" t="str">
        <x:v>SRC-009: scripts/settings/equipment/weapon_templates/</x:v>
      </x:c>
      <x:c r="M353" s="21" t="str"/>
    </x:row>
    <x:row r="354" ht="46" customHeight="1">
      <x:c r="A354" s="24" t="str">
        <x:v>ANIM-350</x:v>
      </x:c>
      <x:c r="B354" s="21" t="str">
        <x:v>Weapon combat</x:v>
      </x:c>
      <x:c r="C354" s="21" t="str">
        <x:v>Thrown weapon: Throw release</x:v>
      </x:c>
      <x:c r="D354" s="21" t="str">
        <x:v>Third person</x:v>
      </x:c>
      <x:c r="E354" s="21" t="str">
        <x:v>Default</x:v>
      </x:c>
      <x:c r="F354" s="27" t="str">
        <x:v>Conditional</x:v>
      </x:c>
      <x:c r="G354" s="27" t="str">
        <x:v>P1</x:v>
      </x:c>
      <x:c r="H354" s="27" t="str">
        <x:v>Not Started</x:v>
      </x:c>
      <x:c r="I354" s="27" t="str">
        <x:v>Janfon</x:v>
      </x:c>
      <x:c r="J354" s="21" t="str">
        <x:v>FBX clip on canonical Pusfume rig</x:v>
      </x:c>
      <x:c r="K354" s="21" t="str">
        <x:v>Sight/hand alignment remains usable in first person; third-person recoil and reload communicate state to teammates.</x:v>
      </x:c>
      <x:c r="L354" s="21" t="str">
        <x:v>SRC-009: scripts/settings/equipment/weapon_templates/</x:v>
      </x:c>
      <x:c r="M354" s="21" t="str"/>
    </x:row>
    <x:row r="355" ht="46" customHeight="1">
      <x:c r="A355" s="24" t="str">
        <x:v>ANIM-351</x:v>
      </x:c>
      <x:c r="B355" s="21" t="str">
        <x:v>Weapon combat</x:v>
      </x:c>
      <x:c r="C355" s="21" t="str">
        <x:v>Thrown weapon: Throw release</x:v>
      </x:c>
      <x:c r="D355" s="21" t="str">
        <x:v>First person</x:v>
      </x:c>
      <x:c r="E355" s="21" t="str">
        <x:v>Default</x:v>
      </x:c>
      <x:c r="F355" s="27" t="str">
        <x:v>Conditional</x:v>
      </x:c>
      <x:c r="G355" s="27" t="str">
        <x:v>P1</x:v>
      </x:c>
      <x:c r="H355" s="27" t="str">
        <x:v>Not Started</x:v>
      </x:c>
      <x:c r="I355" s="27" t="str">
        <x:v>Janfon</x:v>
      </x:c>
      <x:c r="J355" s="21" t="str">
        <x:v>FBX clip on canonical Pusfume rig</x:v>
      </x:c>
      <x:c r="K355" s="21" t="str">
        <x:v>Sight/hand alignment remains usable in first person; third-person recoil and reload communicate state to teammates.</x:v>
      </x:c>
      <x:c r="L355" s="21" t="str">
        <x:v>SRC-009: scripts/settings/equipment/weapon_templates/</x:v>
      </x:c>
      <x:c r="M355" s="21" t="str"/>
    </x:row>
    <x:row r="356" ht="46" customHeight="1">
      <x:c r="A356" s="24" t="str">
        <x:v>ANIM-352</x:v>
      </x:c>
      <x:c r="B356" s="21" t="str">
        <x:v>Damage and recovery</x:v>
      </x:c>
      <x:c r="C356" s="21" t="str">
        <x:v>Light stagger</x:v>
      </x:c>
      <x:c r="D356" s="21" t="str">
        <x:v>Third person</x:v>
      </x:c>
      <x:c r="E356" s="21" t="str">
        <x:v>Front</x:v>
      </x:c>
      <x:c r="F356" s="27" t="str">
        <x:v>Required</x:v>
      </x:c>
      <x:c r="G356" s="27" t="str">
        <x:v>P0</x:v>
      </x:c>
      <x:c r="H356" s="27" t="str">
        <x:v>Not Started</x:v>
      </x:c>
      <x:c r="I356" s="27" t="str">
        <x:v>Janfon</x:v>
      </x:c>
      <x:c r="J356" s="21" t="str">
        <x:v>FBX clip</x:v>
      </x:c>
      <x:c r="K356" s="21" t="str">
        <x:v>Readable hit direction and clean transition into standing, downed, dead, or respawn state.</x:v>
      </x:c>
      <x:c r="L356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56" s="21" t="str"/>
    </x:row>
    <x:row r="357" ht="46" customHeight="1">
      <x:c r="A357" s="24" t="str">
        <x:v>ANIM-353</x:v>
      </x:c>
      <x:c r="B357" s="21" t="str">
        <x:v>Damage and recovery</x:v>
      </x:c>
      <x:c r="C357" s="21" t="str">
        <x:v>Light stagger</x:v>
      </x:c>
      <x:c r="D357" s="21" t="str">
        <x:v>Third person</x:v>
      </x:c>
      <x:c r="E357" s="21" t="str">
        <x:v>Back</x:v>
      </x:c>
      <x:c r="F357" s="27" t="str">
        <x:v>Required</x:v>
      </x:c>
      <x:c r="G357" s="27" t="str">
        <x:v>P0</x:v>
      </x:c>
      <x:c r="H357" s="27" t="str">
        <x:v>Not Started</x:v>
      </x:c>
      <x:c r="I357" s="27" t="str">
        <x:v>Janfon</x:v>
      </x:c>
      <x:c r="J357" s="21" t="str">
        <x:v>FBX clip</x:v>
      </x:c>
      <x:c r="K357" s="21" t="str">
        <x:v>Readable hit direction and clean transition into standing, downed, dead, or respawn state.</x:v>
      </x:c>
      <x:c r="L357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57" s="21" t="str"/>
    </x:row>
    <x:row r="358" ht="46" customHeight="1">
      <x:c r="A358" s="24" t="str">
        <x:v>ANIM-354</x:v>
      </x:c>
      <x:c r="B358" s="21" t="str">
        <x:v>Damage and recovery</x:v>
      </x:c>
      <x:c r="C358" s="21" t="str">
        <x:v>Light stagger</x:v>
      </x:c>
      <x:c r="D358" s="21" t="str">
        <x:v>Third person</x:v>
      </x:c>
      <x:c r="E358" s="21" t="str">
        <x:v>Left</x:v>
      </x:c>
      <x:c r="F358" s="27" t="str">
        <x:v>Required</x:v>
      </x:c>
      <x:c r="G358" s="27" t="str">
        <x:v>P0</x:v>
      </x:c>
      <x:c r="H358" s="27" t="str">
        <x:v>Not Started</x:v>
      </x:c>
      <x:c r="I358" s="27" t="str">
        <x:v>Janfon</x:v>
      </x:c>
      <x:c r="J358" s="21" t="str">
        <x:v>FBX clip</x:v>
      </x:c>
      <x:c r="K358" s="21" t="str">
        <x:v>Readable hit direction and clean transition into standing, downed, dead, or respawn state.</x:v>
      </x:c>
      <x:c r="L358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58" s="21" t="str"/>
    </x:row>
    <x:row r="359" ht="46" customHeight="1">
      <x:c r="A359" s="24" t="str">
        <x:v>ANIM-355</x:v>
      </x:c>
      <x:c r="B359" s="21" t="str">
        <x:v>Damage and recovery</x:v>
      </x:c>
      <x:c r="C359" s="21" t="str">
        <x:v>Light stagger</x:v>
      </x:c>
      <x:c r="D359" s="21" t="str">
        <x:v>Third person</x:v>
      </x:c>
      <x:c r="E359" s="21" t="str">
        <x:v>Right</x:v>
      </x:c>
      <x:c r="F359" s="27" t="str">
        <x:v>Required</x:v>
      </x:c>
      <x:c r="G359" s="27" t="str">
        <x:v>P0</x:v>
      </x:c>
      <x:c r="H359" s="27" t="str">
        <x:v>Not Started</x:v>
      </x:c>
      <x:c r="I359" s="27" t="str">
        <x:v>Janfon</x:v>
      </x:c>
      <x:c r="J359" s="21" t="str">
        <x:v>FBX clip</x:v>
      </x:c>
      <x:c r="K359" s="21" t="str">
        <x:v>Readable hit direction and clean transition into standing, downed, dead, or respawn state.</x:v>
      </x:c>
      <x:c r="L359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59" s="21" t="str"/>
    </x:row>
    <x:row r="360" ht="46" customHeight="1">
      <x:c r="A360" s="24" t="str">
        <x:v>ANIM-356</x:v>
      </x:c>
      <x:c r="B360" s="21" t="str">
        <x:v>Damage and recovery</x:v>
      </x:c>
      <x:c r="C360" s="21" t="str">
        <x:v>Heavy stagger</x:v>
      </x:c>
      <x:c r="D360" s="21" t="str">
        <x:v>Third person</x:v>
      </x:c>
      <x:c r="E360" s="21" t="str">
        <x:v>Front</x:v>
      </x:c>
      <x:c r="F360" s="27" t="str">
        <x:v>Required</x:v>
      </x:c>
      <x:c r="G360" s="27" t="str">
        <x:v>P0</x:v>
      </x:c>
      <x:c r="H360" s="27" t="str">
        <x:v>Not Started</x:v>
      </x:c>
      <x:c r="I360" s="27" t="str">
        <x:v>Janfon</x:v>
      </x:c>
      <x:c r="J360" s="21" t="str">
        <x:v>FBX clip</x:v>
      </x:c>
      <x:c r="K360" s="21" t="str">
        <x:v>Readable hit direction and clean transition into standing, downed, dead, or respawn state.</x:v>
      </x:c>
      <x:c r="L360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0" s="21" t="str"/>
    </x:row>
    <x:row r="361" ht="46" customHeight="1">
      <x:c r="A361" s="24" t="str">
        <x:v>ANIM-357</x:v>
      </x:c>
      <x:c r="B361" s="21" t="str">
        <x:v>Damage and recovery</x:v>
      </x:c>
      <x:c r="C361" s="21" t="str">
        <x:v>Heavy stagger</x:v>
      </x:c>
      <x:c r="D361" s="21" t="str">
        <x:v>Third person</x:v>
      </x:c>
      <x:c r="E361" s="21" t="str">
        <x:v>Back</x:v>
      </x:c>
      <x:c r="F361" s="27" t="str">
        <x:v>Required</x:v>
      </x:c>
      <x:c r="G361" s="27" t="str">
        <x:v>P0</x:v>
      </x:c>
      <x:c r="H361" s="27" t="str">
        <x:v>Not Started</x:v>
      </x:c>
      <x:c r="I361" s="27" t="str">
        <x:v>Janfon</x:v>
      </x:c>
      <x:c r="J361" s="21" t="str">
        <x:v>FBX clip</x:v>
      </x:c>
      <x:c r="K361" s="21" t="str">
        <x:v>Readable hit direction and clean transition into standing, downed, dead, or respawn state.</x:v>
      </x:c>
      <x:c r="L361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1" s="21" t="str"/>
    </x:row>
    <x:row r="362" ht="46" customHeight="1">
      <x:c r="A362" s="24" t="str">
        <x:v>ANIM-358</x:v>
      </x:c>
      <x:c r="B362" s="21" t="str">
        <x:v>Damage and recovery</x:v>
      </x:c>
      <x:c r="C362" s="21" t="str">
        <x:v>Heavy stagger</x:v>
      </x:c>
      <x:c r="D362" s="21" t="str">
        <x:v>Third person</x:v>
      </x:c>
      <x:c r="E362" s="21" t="str">
        <x:v>Left</x:v>
      </x:c>
      <x:c r="F362" s="27" t="str">
        <x:v>Required</x:v>
      </x:c>
      <x:c r="G362" s="27" t="str">
        <x:v>P0</x:v>
      </x:c>
      <x:c r="H362" s="27" t="str">
        <x:v>Not Started</x:v>
      </x:c>
      <x:c r="I362" s="27" t="str">
        <x:v>Janfon</x:v>
      </x:c>
      <x:c r="J362" s="21" t="str">
        <x:v>FBX clip</x:v>
      </x:c>
      <x:c r="K362" s="21" t="str">
        <x:v>Readable hit direction and clean transition into standing, downed, dead, or respawn state.</x:v>
      </x:c>
      <x:c r="L362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2" s="21" t="str"/>
    </x:row>
    <x:row r="363" ht="46" customHeight="1">
      <x:c r="A363" s="24" t="str">
        <x:v>ANIM-359</x:v>
      </x:c>
      <x:c r="B363" s="21" t="str">
        <x:v>Damage and recovery</x:v>
      </x:c>
      <x:c r="C363" s="21" t="str">
        <x:v>Heavy stagger</x:v>
      </x:c>
      <x:c r="D363" s="21" t="str">
        <x:v>Third person</x:v>
      </x:c>
      <x:c r="E363" s="21" t="str">
        <x:v>Right</x:v>
      </x:c>
      <x:c r="F363" s="27" t="str">
        <x:v>Required</x:v>
      </x:c>
      <x:c r="G363" s="27" t="str">
        <x:v>P0</x:v>
      </x:c>
      <x:c r="H363" s="27" t="str">
        <x:v>Not Started</x:v>
      </x:c>
      <x:c r="I363" s="27" t="str">
        <x:v>Janfon</x:v>
      </x:c>
      <x:c r="J363" s="21" t="str">
        <x:v>FBX clip</x:v>
      </x:c>
      <x:c r="K363" s="21" t="str">
        <x:v>Readable hit direction and clean transition into standing, downed, dead, or respawn state.</x:v>
      </x:c>
      <x:c r="L363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3" s="21" t="str"/>
    </x:row>
    <x:row r="364" ht="46" customHeight="1">
      <x:c r="A364" s="24" t="str">
        <x:v>ANIM-360</x:v>
      </x:c>
      <x:c r="B364" s="21" t="str">
        <x:v>Damage and recovery</x:v>
      </x:c>
      <x:c r="C364" s="21" t="str">
        <x:v>Stunned loop</x:v>
      </x:c>
      <x:c r="D364" s="21" t="str">
        <x:v>Third person</x:v>
      </x:c>
      <x:c r="E364" s="21" t="str">
        <x:v>Default</x:v>
      </x:c>
      <x:c r="F364" s="27" t="str">
        <x:v>Required</x:v>
      </x:c>
      <x:c r="G364" s="27" t="str">
        <x:v>P0</x:v>
      </x:c>
      <x:c r="H364" s="27" t="str">
        <x:v>Not Started</x:v>
      </x:c>
      <x:c r="I364" s="27" t="str">
        <x:v>Janfon</x:v>
      </x:c>
      <x:c r="J364" s="21" t="str">
        <x:v>FBX clip</x:v>
      </x:c>
      <x:c r="K364" s="21" t="str">
        <x:v>Readable hit direction and clean transition into standing, downed, dead, or respawn state.</x:v>
      </x:c>
      <x:c r="L364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4" s="21" t="str"/>
    </x:row>
    <x:row r="365" ht="46" customHeight="1">
      <x:c r="A365" s="24" t="str">
        <x:v>ANIM-361</x:v>
      </x:c>
      <x:c r="B365" s="21" t="str">
        <x:v>Damage and recovery</x:v>
      </x:c>
      <x:c r="C365" s="21" t="str">
        <x:v>Knockdown enter</x:v>
      </x:c>
      <x:c r="D365" s="21" t="str">
        <x:v>Third person</x:v>
      </x:c>
      <x:c r="E365" s="21" t="str">
        <x:v>Front</x:v>
      </x:c>
      <x:c r="F365" s="27" t="str">
        <x:v>Required</x:v>
      </x:c>
      <x:c r="G365" s="27" t="str">
        <x:v>P0</x:v>
      </x:c>
      <x:c r="H365" s="27" t="str">
        <x:v>Not Started</x:v>
      </x:c>
      <x:c r="I365" s="27" t="str">
        <x:v>Janfon</x:v>
      </x:c>
      <x:c r="J365" s="21" t="str">
        <x:v>FBX clip</x:v>
      </x:c>
      <x:c r="K365" s="21" t="str">
        <x:v>Readable hit direction and clean transition into standing, downed, dead, or respawn state.</x:v>
      </x:c>
      <x:c r="L365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5" s="21" t="str"/>
    </x:row>
    <x:row r="366" ht="46" customHeight="1">
      <x:c r="A366" s="24" t="str">
        <x:v>ANIM-362</x:v>
      </x:c>
      <x:c r="B366" s="21" t="str">
        <x:v>Damage and recovery</x:v>
      </x:c>
      <x:c r="C366" s="21" t="str">
        <x:v>Knockdown enter</x:v>
      </x:c>
      <x:c r="D366" s="21" t="str">
        <x:v>Third person</x:v>
      </x:c>
      <x:c r="E366" s="21" t="str">
        <x:v>Back</x:v>
      </x:c>
      <x:c r="F366" s="27" t="str">
        <x:v>Required</x:v>
      </x:c>
      <x:c r="G366" s="27" t="str">
        <x:v>P0</x:v>
      </x:c>
      <x:c r="H366" s="27" t="str">
        <x:v>Not Started</x:v>
      </x:c>
      <x:c r="I366" s="27" t="str">
        <x:v>Janfon</x:v>
      </x:c>
      <x:c r="J366" s="21" t="str">
        <x:v>FBX clip</x:v>
      </x:c>
      <x:c r="K366" s="21" t="str">
        <x:v>Readable hit direction and clean transition into standing, downed, dead, or respawn state.</x:v>
      </x:c>
      <x:c r="L366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6" s="21" t="str"/>
    </x:row>
    <x:row r="367" ht="46" customHeight="1">
      <x:c r="A367" s="24" t="str">
        <x:v>ANIM-363</x:v>
      </x:c>
      <x:c r="B367" s="21" t="str">
        <x:v>Damage and recovery</x:v>
      </x:c>
      <x:c r="C367" s="21" t="str">
        <x:v>Knocked-down idle</x:v>
      </x:c>
      <x:c r="D367" s="21" t="str">
        <x:v>Third person</x:v>
      </x:c>
      <x:c r="E367" s="21" t="str">
        <x:v>Default</x:v>
      </x:c>
      <x:c r="F367" s="27" t="str">
        <x:v>Required</x:v>
      </x:c>
      <x:c r="G367" s="27" t="str">
        <x:v>P0</x:v>
      </x:c>
      <x:c r="H367" s="27" t="str">
        <x:v>Not Started</x:v>
      </x:c>
      <x:c r="I367" s="27" t="str">
        <x:v>Janfon</x:v>
      </x:c>
      <x:c r="J367" s="21" t="str">
        <x:v>FBX clip</x:v>
      </x:c>
      <x:c r="K367" s="21" t="str">
        <x:v>Readable hit direction and clean transition into standing, downed, dead, or respawn state.</x:v>
      </x:c>
      <x:c r="L367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7" s="21" t="str"/>
    </x:row>
    <x:row r="368" ht="46" customHeight="1">
      <x:c r="A368" s="24" t="str">
        <x:v>ANIM-364</x:v>
      </x:c>
      <x:c r="B368" s="21" t="str">
        <x:v>Damage and recovery</x:v>
      </x:c>
      <x:c r="C368" s="21" t="str">
        <x:v>Downed crawl</x:v>
      </x:c>
      <x:c r="D368" s="21" t="str">
        <x:v>Third person</x:v>
      </x:c>
      <x:c r="E368" s="21" t="str">
        <x:v>Forward</x:v>
      </x:c>
      <x:c r="F368" s="27" t="str">
        <x:v>Required</x:v>
      </x:c>
      <x:c r="G368" s="27" t="str">
        <x:v>P0</x:v>
      </x:c>
      <x:c r="H368" s="27" t="str">
        <x:v>Not Started</x:v>
      </x:c>
      <x:c r="I368" s="27" t="str">
        <x:v>Janfon</x:v>
      </x:c>
      <x:c r="J368" s="21" t="str">
        <x:v>FBX clip</x:v>
      </x:c>
      <x:c r="K368" s="21" t="str">
        <x:v>Readable hit direction and clean transition into standing, downed, dead, or respawn state.</x:v>
      </x:c>
      <x:c r="L368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8" s="21" t="str"/>
    </x:row>
    <x:row r="369" ht="46" customHeight="1">
      <x:c r="A369" s="24" t="str">
        <x:v>ANIM-365</x:v>
      </x:c>
      <x:c r="B369" s="21" t="str">
        <x:v>Damage and recovery</x:v>
      </x:c>
      <x:c r="C369" s="21" t="str">
        <x:v>Downed crawl</x:v>
      </x:c>
      <x:c r="D369" s="21" t="str">
        <x:v>Third person</x:v>
      </x:c>
      <x:c r="E369" s="21" t="str">
        <x:v>Backward</x:v>
      </x:c>
      <x:c r="F369" s="27" t="str">
        <x:v>Required</x:v>
      </x:c>
      <x:c r="G369" s="27" t="str">
        <x:v>P0</x:v>
      </x:c>
      <x:c r="H369" s="27" t="str">
        <x:v>Not Started</x:v>
      </x:c>
      <x:c r="I369" s="27" t="str">
        <x:v>Janfon</x:v>
      </x:c>
      <x:c r="J369" s="21" t="str">
        <x:v>FBX clip</x:v>
      </x:c>
      <x:c r="K369" s="21" t="str">
        <x:v>Readable hit direction and clean transition into standing, downed, dead, or respawn state.</x:v>
      </x:c>
      <x:c r="L369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69" s="21" t="str"/>
    </x:row>
    <x:row r="370" ht="46" customHeight="1">
      <x:c r="A370" s="24" t="str">
        <x:v>ANIM-366</x:v>
      </x:c>
      <x:c r="B370" s="21" t="str">
        <x:v>Damage and recovery</x:v>
      </x:c>
      <x:c r="C370" s="21" t="str">
        <x:v>Revive receive</x:v>
      </x:c>
      <x:c r="D370" s="21" t="str">
        <x:v>Third person</x:v>
      </x:c>
      <x:c r="E370" s="21" t="str">
        <x:v>Default</x:v>
      </x:c>
      <x:c r="F370" s="27" t="str">
        <x:v>Required</x:v>
      </x:c>
      <x:c r="G370" s="27" t="str">
        <x:v>P0</x:v>
      </x:c>
      <x:c r="H370" s="27" t="str">
        <x:v>Not Started</x:v>
      </x:c>
      <x:c r="I370" s="27" t="str">
        <x:v>Janfon</x:v>
      </x:c>
      <x:c r="J370" s="21" t="str">
        <x:v>FBX clip</x:v>
      </x:c>
      <x:c r="K370" s="21" t="str">
        <x:v>Readable hit direction and clean transition into standing, downed, dead, or respawn state.</x:v>
      </x:c>
      <x:c r="L370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70" s="21" t="str"/>
    </x:row>
    <x:row r="371" ht="46" customHeight="1">
      <x:c r="A371" s="24" t="str">
        <x:v>ANIM-367</x:v>
      </x:c>
      <x:c r="B371" s="21" t="str">
        <x:v>Damage and recovery</x:v>
      </x:c>
      <x:c r="C371" s="21" t="str">
        <x:v>Revive teammate</x:v>
      </x:c>
      <x:c r="D371" s="21" t="str">
        <x:v>Third person</x:v>
      </x:c>
      <x:c r="E371" s="21" t="str">
        <x:v>Default</x:v>
      </x:c>
      <x:c r="F371" s="27" t="str">
        <x:v>Required</x:v>
      </x:c>
      <x:c r="G371" s="27" t="str">
        <x:v>P0</x:v>
      </x:c>
      <x:c r="H371" s="27" t="str">
        <x:v>Not Started</x:v>
      </x:c>
      <x:c r="I371" s="27" t="str">
        <x:v>Janfon</x:v>
      </x:c>
      <x:c r="J371" s="21" t="str">
        <x:v>FBX clip</x:v>
      </x:c>
      <x:c r="K371" s="21" t="str">
        <x:v>Readable hit direction and clean transition into standing, downed, dead, or respawn state.</x:v>
      </x:c>
      <x:c r="L371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71" s="21" t="str"/>
    </x:row>
    <x:row r="372" ht="46" customHeight="1">
      <x:c r="A372" s="24" t="str">
        <x:v>ANIM-368</x:v>
      </x:c>
      <x:c r="B372" s="21" t="str">
        <x:v>Damage and recovery</x:v>
      </x:c>
      <x:c r="C372" s="21" t="str">
        <x:v>Death</x:v>
      </x:c>
      <x:c r="D372" s="21" t="str">
        <x:v>Third person</x:v>
      </x:c>
      <x:c r="E372" s="21" t="str">
        <x:v>Front</x:v>
      </x:c>
      <x:c r="F372" s="27" t="str">
        <x:v>Required</x:v>
      </x:c>
      <x:c r="G372" s="27" t="str">
        <x:v>P1</x:v>
      </x:c>
      <x:c r="H372" s="27" t="str">
        <x:v>Not Started</x:v>
      </x:c>
      <x:c r="I372" s="27" t="str">
        <x:v>Janfon</x:v>
      </x:c>
      <x:c r="J372" s="21" t="str">
        <x:v>FBX clip</x:v>
      </x:c>
      <x:c r="K372" s="21" t="str">
        <x:v>Readable hit direction and clean transition into standing, downed, dead, or respawn state.</x:v>
      </x:c>
      <x:c r="L372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72" s="21" t="str"/>
    </x:row>
    <x:row r="373" ht="46" customHeight="1">
      <x:c r="A373" s="24" t="str">
        <x:v>ANIM-369</x:v>
      </x:c>
      <x:c r="B373" s="21" t="str">
        <x:v>Damage and recovery</x:v>
      </x:c>
      <x:c r="C373" s="21" t="str">
        <x:v>Death</x:v>
      </x:c>
      <x:c r="D373" s="21" t="str">
        <x:v>Third person</x:v>
      </x:c>
      <x:c r="E373" s="21" t="str">
        <x:v>Back</x:v>
      </x:c>
      <x:c r="F373" s="27" t="str">
        <x:v>Required</x:v>
      </x:c>
      <x:c r="G373" s="27" t="str">
        <x:v>P1</x:v>
      </x:c>
      <x:c r="H373" s="27" t="str">
        <x:v>Not Started</x:v>
      </x:c>
      <x:c r="I373" s="27" t="str">
        <x:v>Janfon</x:v>
      </x:c>
      <x:c r="J373" s="21" t="str">
        <x:v>FBX clip</x:v>
      </x:c>
      <x:c r="K373" s="21" t="str">
        <x:v>Readable hit direction and clean transition into standing, downed, dead, or respawn state.</x:v>
      </x:c>
      <x:c r="L373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73" s="21" t="str"/>
    </x:row>
    <x:row r="374" ht="46" customHeight="1">
      <x:c r="A374" s="24" t="str">
        <x:v>ANIM-370</x:v>
      </x:c>
      <x:c r="B374" s="21" t="str">
        <x:v>Damage and recovery</x:v>
      </x:c>
      <x:c r="C374" s="21" t="str">
        <x:v>Death</x:v>
      </x:c>
      <x:c r="D374" s="21" t="str">
        <x:v>Third person</x:v>
      </x:c>
      <x:c r="E374" s="21" t="str">
        <x:v>Left</x:v>
      </x:c>
      <x:c r="F374" s="27" t="str">
        <x:v>Required</x:v>
      </x:c>
      <x:c r="G374" s="27" t="str">
        <x:v>P1</x:v>
      </x:c>
      <x:c r="H374" s="27" t="str">
        <x:v>Not Started</x:v>
      </x:c>
      <x:c r="I374" s="27" t="str">
        <x:v>Janfon</x:v>
      </x:c>
      <x:c r="J374" s="21" t="str">
        <x:v>FBX clip</x:v>
      </x:c>
      <x:c r="K374" s="21" t="str">
        <x:v>Readable hit direction and clean transition into standing, downed, dead, or respawn state.</x:v>
      </x:c>
      <x:c r="L374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74" s="21" t="str"/>
    </x:row>
    <x:row r="375" ht="46" customHeight="1">
      <x:c r="A375" s="24" t="str">
        <x:v>ANIM-371</x:v>
      </x:c>
      <x:c r="B375" s="21" t="str">
        <x:v>Damage and recovery</x:v>
      </x:c>
      <x:c r="C375" s="21" t="str">
        <x:v>Death</x:v>
      </x:c>
      <x:c r="D375" s="21" t="str">
        <x:v>Third person</x:v>
      </x:c>
      <x:c r="E375" s="21" t="str">
        <x:v>Right</x:v>
      </x:c>
      <x:c r="F375" s="27" t="str">
        <x:v>Required</x:v>
      </x:c>
      <x:c r="G375" s="27" t="str">
        <x:v>P1</x:v>
      </x:c>
      <x:c r="H375" s="27" t="str">
        <x:v>Not Started</x:v>
      </x:c>
      <x:c r="I375" s="27" t="str">
        <x:v>Janfon</x:v>
      </x:c>
      <x:c r="J375" s="21" t="str">
        <x:v>FBX clip</x:v>
      </x:c>
      <x:c r="K375" s="21" t="str">
        <x:v>Readable hit direction and clean transition into standing, downed, dead, or respawn state.</x:v>
      </x:c>
      <x:c r="L375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75" s="21" t="str"/>
    </x:row>
    <x:row r="376" ht="46" customHeight="1">
      <x:c r="A376" s="24" t="str">
        <x:v>ANIM-372</x:v>
      </x:c>
      <x:c r="B376" s="21" t="str">
        <x:v>Damage and recovery</x:v>
      </x:c>
      <x:c r="C376" s="21" t="str">
        <x:v>Assisted respawn idle</x:v>
      </x:c>
      <x:c r="D376" s="21" t="str">
        <x:v>Third person</x:v>
      </x:c>
      <x:c r="E376" s="21" t="str">
        <x:v>Default</x:v>
      </x:c>
      <x:c r="F376" s="27" t="str">
        <x:v>Required</x:v>
      </x:c>
      <x:c r="G376" s="27" t="str">
        <x:v>P0</x:v>
      </x:c>
      <x:c r="H376" s="27" t="str">
        <x:v>Not Started</x:v>
      </x:c>
      <x:c r="I376" s="27" t="str">
        <x:v>Janfon</x:v>
      </x:c>
      <x:c r="J376" s="21" t="str">
        <x:v>FBX clip</x:v>
      </x:c>
      <x:c r="K376" s="21" t="str">
        <x:v>Readable hit direction and clean transition into standing, downed, dead, or respawn state.</x:v>
      </x:c>
      <x:c r="L376" s="21" t="str">
        <x:v>SRC-001: scripts/unit_extensions/default_player_unit/states/player_character_state_stunned.lua; SRC-001: scripts/unit_extensions/default_player_unit/states/player_character_state_knocked_down.lua; SRC-001: scripts/unit_extensions/default_player_unit/states/player_character_state_dead.lua</x:v>
      </x:c>
      <x:c r="M376" s="21" t="str"/>
    </x:row>
    <x:row r="377" ht="46" customHeight="1">
      <x:c r="A377" s="24" t="str">
        <x:v>ANIM-373</x:v>
      </x:c>
      <x:c r="B377" s="21" t="str">
        <x:v>Disabled states</x:v>
      </x:c>
      <x:c r="C377" s="21" t="str">
        <x:v>Grabbed by Packmaster</x:v>
      </x:c>
      <x:c r="D377" s="21" t="str">
        <x:v>Third person</x:v>
      </x:c>
      <x:c r="E377" s="21" t="str">
        <x:v>Enter / loop / exit</x:v>
      </x:c>
      <x:c r="F377" s="27" t="str">
        <x:v>Required</x:v>
      </x:c>
      <x:c r="G377" s="27" t="str">
        <x:v>P1</x:v>
      </x:c>
      <x:c r="H377" s="27" t="str">
        <x:v>Not Started</x:v>
      </x:c>
      <x:c r="I377" s="27" t="str">
        <x:v>Janfon</x:v>
      </x:c>
      <x:c r="J377" s="21" t="str">
        <x:v>3 FBX clips or compatible state sequence</x:v>
      </x:c>
      <x:c r="K377" s="21" t="str">
        <x:v>Attachment points stay valid during enemy carry/hold; exit blends to fall, downed, or standing.</x:v>
      </x:c>
      <x:c r="L377" s="21" t="str">
        <x:v>SRC-001: scripts/unit_extensions/default_player_unit/states/</x:v>
      </x:c>
      <x:c r="M377" s="21" t="str"/>
    </x:row>
    <x:row r="378" ht="46" customHeight="1">
      <x:c r="A378" s="24" t="str">
        <x:v>ANIM-374</x:v>
      </x:c>
      <x:c r="B378" s="21" t="str">
        <x:v>Disabled states</x:v>
      </x:c>
      <x:c r="C378" s="21" t="str">
        <x:v>Pounced by Gutter Runner</x:v>
      </x:c>
      <x:c r="D378" s="21" t="str">
        <x:v>Third person</x:v>
      </x:c>
      <x:c r="E378" s="21" t="str">
        <x:v>Enter / loop / exit</x:v>
      </x:c>
      <x:c r="F378" s="27" t="str">
        <x:v>Required</x:v>
      </x:c>
      <x:c r="G378" s="27" t="str">
        <x:v>P1</x:v>
      </x:c>
      <x:c r="H378" s="27" t="str">
        <x:v>Not Started</x:v>
      </x:c>
      <x:c r="I378" s="27" t="str">
        <x:v>Janfon</x:v>
      </x:c>
      <x:c r="J378" s="21" t="str">
        <x:v>3 FBX clips or compatible state sequence</x:v>
      </x:c>
      <x:c r="K378" s="21" t="str">
        <x:v>Attachment points stay valid during enemy carry/hold; exit blends to fall, downed, or standing.</x:v>
      </x:c>
      <x:c r="L378" s="21" t="str">
        <x:v>SRC-001: scripts/unit_extensions/default_player_unit/states/</x:v>
      </x:c>
      <x:c r="M378" s="21" t="str"/>
    </x:row>
    <x:row r="379" ht="46" customHeight="1">
      <x:c r="A379" s="24" t="str">
        <x:v>ANIM-375</x:v>
      </x:c>
      <x:c r="B379" s="21" t="str">
        <x:v>Disabled states</x:v>
      </x:c>
      <x:c r="C379" s="21" t="str">
        <x:v>Grabbed by Chaos Spawn</x:v>
      </x:c>
      <x:c r="D379" s="21" t="str">
        <x:v>Third person</x:v>
      </x:c>
      <x:c r="E379" s="21" t="str">
        <x:v>Enter / loop / exit</x:v>
      </x:c>
      <x:c r="F379" s="27" t="str">
        <x:v>Required</x:v>
      </x:c>
      <x:c r="G379" s="27" t="str">
        <x:v>P1</x:v>
      </x:c>
      <x:c r="H379" s="27" t="str">
        <x:v>Not Started</x:v>
      </x:c>
      <x:c r="I379" s="27" t="str">
        <x:v>Janfon</x:v>
      </x:c>
      <x:c r="J379" s="21" t="str">
        <x:v>3 FBX clips or compatible state sequence</x:v>
      </x:c>
      <x:c r="K379" s="21" t="str">
        <x:v>Attachment points stay valid during enemy carry/hold; exit blends to fall, downed, or standing.</x:v>
      </x:c>
      <x:c r="L379" s="21" t="str">
        <x:v>SRC-001: scripts/unit_extensions/default_player_unit/states/</x:v>
      </x:c>
      <x:c r="M379" s="21" t="str"/>
    </x:row>
    <x:row r="380" ht="46" customHeight="1">
      <x:c r="A380" s="24" t="str">
        <x:v>ANIM-376</x:v>
      </x:c>
      <x:c r="B380" s="21" t="str">
        <x:v>Disabled states</x:v>
      </x:c>
      <x:c r="C380" s="21" t="str">
        <x:v>Grabbed by Corruptor</x:v>
      </x:c>
      <x:c r="D380" s="21" t="str">
        <x:v>Third person</x:v>
      </x:c>
      <x:c r="E380" s="21" t="str">
        <x:v>Enter / loop / exit</x:v>
      </x:c>
      <x:c r="F380" s="27" t="str">
        <x:v>Required</x:v>
      </x:c>
      <x:c r="G380" s="27" t="str">
        <x:v>P1</x:v>
      </x:c>
      <x:c r="H380" s="27" t="str">
        <x:v>Not Started</x:v>
      </x:c>
      <x:c r="I380" s="27" t="str">
        <x:v>Janfon</x:v>
      </x:c>
      <x:c r="J380" s="21" t="str">
        <x:v>3 FBX clips or compatible state sequence</x:v>
      </x:c>
      <x:c r="K380" s="21" t="str">
        <x:v>Attachment points stay valid during enemy carry/hold; exit blends to fall, downed, or standing.</x:v>
      </x:c>
      <x:c r="L380" s="21" t="str">
        <x:v>SRC-001: scripts/unit_extensions/default_player_unit/states/</x:v>
      </x:c>
      <x:c r="M380" s="21" t="str"/>
    </x:row>
    <x:row r="381" ht="46" customHeight="1">
      <x:c r="A381" s="24" t="str">
        <x:v>ANIM-377</x:v>
      </x:c>
      <x:c r="B381" s="21" t="str">
        <x:v>Disabled states</x:v>
      </x:c>
      <x:c r="C381" s="21" t="str">
        <x:v>Grabbed by tentacle</x:v>
      </x:c>
      <x:c r="D381" s="21" t="str">
        <x:v>Third person</x:v>
      </x:c>
      <x:c r="E381" s="21" t="str">
        <x:v>Enter / loop / exit</x:v>
      </x:c>
      <x:c r="F381" s="27" t="str">
        <x:v>Required</x:v>
      </x:c>
      <x:c r="G381" s="27" t="str">
        <x:v>P1</x:v>
      </x:c>
      <x:c r="H381" s="27" t="str">
        <x:v>Not Started</x:v>
      </x:c>
      <x:c r="I381" s="27" t="str">
        <x:v>Janfon</x:v>
      </x:c>
      <x:c r="J381" s="21" t="str">
        <x:v>3 FBX clips or compatible state sequence</x:v>
      </x:c>
      <x:c r="K381" s="21" t="str">
        <x:v>Attachment points stay valid during enemy carry/hold; exit blends to fall, downed, or standing.</x:v>
      </x:c>
      <x:c r="L381" s="21" t="str">
        <x:v>SRC-001: scripts/unit_extensions/default_player_unit/states/</x:v>
      </x:c>
      <x:c r="M381" s="21" t="str"/>
    </x:row>
    <x:row r="382" ht="46" customHeight="1">
      <x:c r="A382" s="24" t="str">
        <x:v>ANIM-378</x:v>
      </x:c>
      <x:c r="B382" s="21" t="str">
        <x:v>Disabled states</x:v>
      </x:c>
      <x:c r="C382" s="21" t="str">
        <x:v>In vortex</x:v>
      </x:c>
      <x:c r="D382" s="21" t="str">
        <x:v>Third person</x:v>
      </x:c>
      <x:c r="E382" s="21" t="str">
        <x:v>Enter / loop / exit</x:v>
      </x:c>
      <x:c r="F382" s="27" t="str">
        <x:v>Required</x:v>
      </x:c>
      <x:c r="G382" s="27" t="str">
        <x:v>P1</x:v>
      </x:c>
      <x:c r="H382" s="27" t="str">
        <x:v>Not Started</x:v>
      </x:c>
      <x:c r="I382" s="27" t="str">
        <x:v>Janfon</x:v>
      </x:c>
      <x:c r="J382" s="21" t="str">
        <x:v>3 FBX clips or compatible state sequence</x:v>
      </x:c>
      <x:c r="K382" s="21" t="str">
        <x:v>Attachment points stay valid during enemy carry/hold; exit blends to fall, downed, or standing.</x:v>
      </x:c>
      <x:c r="L382" s="21" t="str">
        <x:v>SRC-001: scripts/unit_extensions/default_player_unit/states/</x:v>
      </x:c>
      <x:c r="M382" s="21" t="str"/>
    </x:row>
    <x:row r="383" ht="46" customHeight="1">
      <x:c r="A383" s="24" t="str">
        <x:v>ANIM-379</x:v>
      </x:c>
      <x:c r="B383" s="21" t="str">
        <x:v>Disabled states</x:v>
      </x:c>
      <x:c r="C383" s="21" t="str">
        <x:v>Overpowered</x:v>
      </x:c>
      <x:c r="D383" s="21" t="str">
        <x:v>Third person</x:v>
      </x:c>
      <x:c r="E383" s="21" t="str">
        <x:v>Enter / loop / exit</x:v>
      </x:c>
      <x:c r="F383" s="27" t="str">
        <x:v>Required</x:v>
      </x:c>
      <x:c r="G383" s="27" t="str">
        <x:v>P1</x:v>
      </x:c>
      <x:c r="H383" s="27" t="str">
        <x:v>Not Started</x:v>
      </x:c>
      <x:c r="I383" s="27" t="str">
        <x:v>Janfon</x:v>
      </x:c>
      <x:c r="J383" s="21" t="str">
        <x:v>3 FBX clips or compatible state sequence</x:v>
      </x:c>
      <x:c r="K383" s="21" t="str">
        <x:v>Attachment points stay valid during enemy carry/hold; exit blends to fall, downed, or standing.</x:v>
      </x:c>
      <x:c r="L383" s="21" t="str">
        <x:v>SRC-001: scripts/unit_extensions/default_player_unit/states/</x:v>
      </x:c>
      <x:c r="M383" s="21" t="str"/>
    </x:row>
    <x:row r="384" ht="46" customHeight="1">
      <x:c r="A384" s="24" t="str">
        <x:v>ANIM-380</x:v>
      </x:c>
      <x:c r="B384" s="21" t="str">
        <x:v>Interaction and social</x:v>
      </x:c>
      <x:c r="C384" s="21" t="str">
        <x:v>Interact start</x:v>
      </x:c>
      <x:c r="D384" s="21" t="str">
        <x:v>Third person</x:v>
      </x:c>
      <x:c r="E384" s="21" t="str">
        <x:v>Default</x:v>
      </x:c>
      <x:c r="F384" s="27" t="str">
        <x:v>Required</x:v>
      </x:c>
      <x:c r="G384" s="27" t="str">
        <x:v>P2</x:v>
      </x:c>
      <x:c r="H384" s="27" t="str">
        <x:v>Not Started</x:v>
      </x:c>
      <x:c r="I384" s="27" t="str">
        <x:v>Janfon</x:v>
      </x:c>
      <x:c r="J384" s="21" t="str">
        <x:v>FBX clip</x:v>
      </x:c>
      <x:c r="K384" s="21" t="str">
        <x:v>Hands meet interaction target or carried item; event can be interrupted without a persistent bad pose.</x:v>
      </x:c>
      <x:c r="L384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84" s="21" t="str"/>
    </x:row>
    <x:row r="385" ht="46" customHeight="1">
      <x:c r="A385" s="24" t="str">
        <x:v>ANIM-381</x:v>
      </x:c>
      <x:c r="B385" s="21" t="str">
        <x:v>Interaction and social</x:v>
      </x:c>
      <x:c r="C385" s="21" t="str">
        <x:v>Interact loop</x:v>
      </x:c>
      <x:c r="D385" s="21" t="str">
        <x:v>Third person</x:v>
      </x:c>
      <x:c r="E385" s="21" t="str">
        <x:v>Default</x:v>
      </x:c>
      <x:c r="F385" s="27" t="str">
        <x:v>Required</x:v>
      </x:c>
      <x:c r="G385" s="27" t="str">
        <x:v>P2</x:v>
      </x:c>
      <x:c r="H385" s="27" t="str">
        <x:v>Not Started</x:v>
      </x:c>
      <x:c r="I385" s="27" t="str">
        <x:v>Janfon</x:v>
      </x:c>
      <x:c r="J385" s="21" t="str">
        <x:v>FBX clip</x:v>
      </x:c>
      <x:c r="K385" s="21" t="str">
        <x:v>Hands meet interaction target or carried item; event can be interrupted without a persistent bad pose.</x:v>
      </x:c>
      <x:c r="L385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85" s="21" t="str"/>
    </x:row>
    <x:row r="386" ht="46" customHeight="1">
      <x:c r="A386" s="24" t="str">
        <x:v>ANIM-382</x:v>
      </x:c>
      <x:c r="B386" s="21" t="str">
        <x:v>Interaction and social</x:v>
      </x:c>
      <x:c r="C386" s="21" t="str">
        <x:v>Interact complete</x:v>
      </x:c>
      <x:c r="D386" s="21" t="str">
        <x:v>Third person</x:v>
      </x:c>
      <x:c r="E386" s="21" t="str">
        <x:v>Default</x:v>
      </x:c>
      <x:c r="F386" s="27" t="str">
        <x:v>Required</x:v>
      </x:c>
      <x:c r="G386" s="27" t="str">
        <x:v>P2</x:v>
      </x:c>
      <x:c r="H386" s="27" t="str">
        <x:v>Not Started</x:v>
      </x:c>
      <x:c r="I386" s="27" t="str">
        <x:v>Janfon</x:v>
      </x:c>
      <x:c r="J386" s="21" t="str">
        <x:v>FBX clip</x:v>
      </x:c>
      <x:c r="K386" s="21" t="str">
        <x:v>Hands meet interaction target or carried item; event can be interrupted without a persistent bad pose.</x:v>
      </x:c>
      <x:c r="L386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86" s="21" t="str"/>
    </x:row>
    <x:row r="387" ht="46" customHeight="1">
      <x:c r="A387" s="24" t="str">
        <x:v>ANIM-383</x:v>
      </x:c>
      <x:c r="B387" s="21" t="str">
        <x:v>Interaction and social</x:v>
      </x:c>
      <x:c r="C387" s="21" t="str">
        <x:v>Interact cancel</x:v>
      </x:c>
      <x:c r="D387" s="21" t="str">
        <x:v>Third person</x:v>
      </x:c>
      <x:c r="E387" s="21" t="str">
        <x:v>Default</x:v>
      </x:c>
      <x:c r="F387" s="27" t="str">
        <x:v>Required</x:v>
      </x:c>
      <x:c r="G387" s="27" t="str">
        <x:v>P2</x:v>
      </x:c>
      <x:c r="H387" s="27" t="str">
        <x:v>Not Started</x:v>
      </x:c>
      <x:c r="I387" s="27" t="str">
        <x:v>Janfon</x:v>
      </x:c>
      <x:c r="J387" s="21" t="str">
        <x:v>FBX clip</x:v>
      </x:c>
      <x:c r="K387" s="21" t="str">
        <x:v>Hands meet interaction target or carried item; event can be interrupted without a persistent bad pose.</x:v>
      </x:c>
      <x:c r="L387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87" s="21" t="str"/>
    </x:row>
    <x:row r="388" ht="46" customHeight="1">
      <x:c r="A388" s="24" t="str">
        <x:v>ANIM-384</x:v>
      </x:c>
      <x:c r="B388" s="21" t="str">
        <x:v>Interaction and social</x:v>
      </x:c>
      <x:c r="C388" s="21" t="str">
        <x:v>Inspect weapon</x:v>
      </x:c>
      <x:c r="D388" s="21" t="str">
        <x:v>Third person</x:v>
      </x:c>
      <x:c r="E388" s="21" t="str">
        <x:v>Default</x:v>
      </x:c>
      <x:c r="F388" s="27" t="str">
        <x:v>Required</x:v>
      </x:c>
      <x:c r="G388" s="27" t="str">
        <x:v>P2</x:v>
      </x:c>
      <x:c r="H388" s="27" t="str">
        <x:v>Not Started</x:v>
      </x:c>
      <x:c r="I388" s="27" t="str">
        <x:v>Janfon</x:v>
      </x:c>
      <x:c r="J388" s="21" t="str">
        <x:v>FBX clip</x:v>
      </x:c>
      <x:c r="K388" s="21" t="str">
        <x:v>Hands meet interaction target or carried item; event can be interrupted without a persistent bad pose.</x:v>
      </x:c>
      <x:c r="L388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88" s="21" t="str"/>
    </x:row>
    <x:row r="389" ht="46" customHeight="1">
      <x:c r="A389" s="24" t="str">
        <x:v>ANIM-385</x:v>
      </x:c>
      <x:c r="B389" s="21" t="str">
        <x:v>Interaction and social</x:v>
      </x:c>
      <x:c r="C389" s="21" t="str">
        <x:v>Carry objective idle</x:v>
      </x:c>
      <x:c r="D389" s="21" t="str">
        <x:v>Third person</x:v>
      </x:c>
      <x:c r="E389" s="21" t="str">
        <x:v>Default</x:v>
      </x:c>
      <x:c r="F389" s="27" t="str">
        <x:v>Conditional</x:v>
      </x:c>
      <x:c r="G389" s="27" t="str">
        <x:v>P2</x:v>
      </x:c>
      <x:c r="H389" s="27" t="str">
        <x:v>Not Started</x:v>
      </x:c>
      <x:c r="I389" s="27" t="str">
        <x:v>Janfon</x:v>
      </x:c>
      <x:c r="J389" s="21" t="str">
        <x:v>FBX clip</x:v>
      </x:c>
      <x:c r="K389" s="21" t="str">
        <x:v>Hands meet interaction target or carried item; event can be interrupted without a persistent bad pose.</x:v>
      </x:c>
      <x:c r="L389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89" s="21" t="str"/>
    </x:row>
    <x:row r="390" ht="46" customHeight="1">
      <x:c r="A390" s="24" t="str">
        <x:v>ANIM-386</x:v>
      </x:c>
      <x:c r="B390" s="21" t="str">
        <x:v>Interaction and social</x:v>
      </x:c>
      <x:c r="C390" s="21" t="str">
        <x:v>Carry objective walk</x:v>
      </x:c>
      <x:c r="D390" s="21" t="str">
        <x:v>Third person</x:v>
      </x:c>
      <x:c r="E390" s="21" t="str">
        <x:v>Default</x:v>
      </x:c>
      <x:c r="F390" s="27" t="str">
        <x:v>Conditional</x:v>
      </x:c>
      <x:c r="G390" s="27" t="str">
        <x:v>P2</x:v>
      </x:c>
      <x:c r="H390" s="27" t="str">
        <x:v>Not Started</x:v>
      </x:c>
      <x:c r="I390" s="27" t="str">
        <x:v>Janfon</x:v>
      </x:c>
      <x:c r="J390" s="21" t="str">
        <x:v>FBX clip</x:v>
      </x:c>
      <x:c r="K390" s="21" t="str">
        <x:v>Hands meet interaction target or carried item; event can be interrupted without a persistent bad pose.</x:v>
      </x:c>
      <x:c r="L390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90" s="21" t="str"/>
    </x:row>
    <x:row r="391" ht="46" customHeight="1">
      <x:c r="A391" s="24" t="str">
        <x:v>ANIM-387</x:v>
      </x:c>
      <x:c r="B391" s="21" t="str">
        <x:v>Interaction and social</x:v>
      </x:c>
      <x:c r="C391" s="21" t="str">
        <x:v>Pickup</x:v>
      </x:c>
      <x:c r="D391" s="21" t="str">
        <x:v>Third person</x:v>
      </x:c>
      <x:c r="E391" s="21" t="str">
        <x:v>Default</x:v>
      </x:c>
      <x:c r="F391" s="27" t="str">
        <x:v>Required</x:v>
      </x:c>
      <x:c r="G391" s="27" t="str">
        <x:v>P2</x:v>
      </x:c>
      <x:c r="H391" s="27" t="str">
        <x:v>Not Started</x:v>
      </x:c>
      <x:c r="I391" s="27" t="str">
        <x:v>Janfon</x:v>
      </x:c>
      <x:c r="J391" s="21" t="str">
        <x:v>FBX clip</x:v>
      </x:c>
      <x:c r="K391" s="21" t="str">
        <x:v>Hands meet interaction target or carried item; event can be interrupted without a persistent bad pose.</x:v>
      </x:c>
      <x:c r="L391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91" s="21" t="str"/>
    </x:row>
    <x:row r="392" ht="46" customHeight="1">
      <x:c r="A392" s="24" t="str">
        <x:v>ANIM-388</x:v>
      </x:c>
      <x:c r="B392" s="21" t="str">
        <x:v>Interaction and social</x:v>
      </x:c>
      <x:c r="C392" s="21" t="str">
        <x:v>Drop</x:v>
      </x:c>
      <x:c r="D392" s="21" t="str">
        <x:v>Third person</x:v>
      </x:c>
      <x:c r="E392" s="21" t="str">
        <x:v>Default</x:v>
      </x:c>
      <x:c r="F392" s="27" t="str">
        <x:v>Required</x:v>
      </x:c>
      <x:c r="G392" s="27" t="str">
        <x:v>P2</x:v>
      </x:c>
      <x:c r="H392" s="27" t="str">
        <x:v>Not Started</x:v>
      </x:c>
      <x:c r="I392" s="27" t="str">
        <x:v>Janfon</x:v>
      </x:c>
      <x:c r="J392" s="21" t="str">
        <x:v>FBX clip</x:v>
      </x:c>
      <x:c r="K392" s="21" t="str">
        <x:v>Hands meet interaction target or carried item; event can be interrupted without a persistent bad pose.</x:v>
      </x:c>
      <x:c r="L392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92" s="21" t="str"/>
    </x:row>
    <x:row r="393" ht="46" customHeight="1">
      <x:c r="A393" s="24" t="str">
        <x:v>ANIM-389</x:v>
      </x:c>
      <x:c r="B393" s="21" t="str">
        <x:v>Interaction and social</x:v>
      </x:c>
      <x:c r="C393" s="21" t="str">
        <x:v>Use potion</x:v>
      </x:c>
      <x:c r="D393" s="21" t="str">
        <x:v>Third person</x:v>
      </x:c>
      <x:c r="E393" s="21" t="str">
        <x:v>Default</x:v>
      </x:c>
      <x:c r="F393" s="27" t="str">
        <x:v>Required</x:v>
      </x:c>
      <x:c r="G393" s="27" t="str">
        <x:v>P2</x:v>
      </x:c>
      <x:c r="H393" s="27" t="str">
        <x:v>Not Started</x:v>
      </x:c>
      <x:c r="I393" s="27" t="str">
        <x:v>Janfon</x:v>
      </x:c>
      <x:c r="J393" s="21" t="str">
        <x:v>FBX clip</x:v>
      </x:c>
      <x:c r="K393" s="21" t="str">
        <x:v>Hands meet interaction target or carried item; event can be interrupted without a persistent bad pose.</x:v>
      </x:c>
      <x:c r="L393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93" s="21" t="str"/>
    </x:row>
    <x:row r="394" ht="46" customHeight="1">
      <x:c r="A394" s="24" t="str">
        <x:v>ANIM-390</x:v>
      </x:c>
      <x:c r="B394" s="21" t="str">
        <x:v>Interaction and social</x:v>
      </x:c>
      <x:c r="C394" s="21" t="str">
        <x:v>Use healing item</x:v>
      </x:c>
      <x:c r="D394" s="21" t="str">
        <x:v>Third person</x:v>
      </x:c>
      <x:c r="E394" s="21" t="str">
        <x:v>Default</x:v>
      </x:c>
      <x:c r="F394" s="27" t="str">
        <x:v>Required</x:v>
      </x:c>
      <x:c r="G394" s="27" t="str">
        <x:v>P2</x:v>
      </x:c>
      <x:c r="H394" s="27" t="str">
        <x:v>Not Started</x:v>
      </x:c>
      <x:c r="I394" s="27" t="str">
        <x:v>Janfon</x:v>
      </x:c>
      <x:c r="J394" s="21" t="str">
        <x:v>FBX clip</x:v>
      </x:c>
      <x:c r="K394" s="21" t="str">
        <x:v>Hands meet interaction target or carried item; event can be interrupted without a persistent bad pose.</x:v>
      </x:c>
      <x:c r="L394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94" s="21" t="str"/>
    </x:row>
    <x:row r="395" ht="46" customHeight="1">
      <x:c r="A395" s="24" t="str">
        <x:v>ANIM-391</x:v>
      </x:c>
      <x:c r="B395" s="21" t="str">
        <x:v>Interaction and social</x:v>
      </x:c>
      <x:c r="C395" s="21" t="str">
        <x:v>Revive self</x:v>
      </x:c>
      <x:c r="D395" s="21" t="str">
        <x:v>Third person</x:v>
      </x:c>
      <x:c r="E395" s="21" t="str">
        <x:v>Default</x:v>
      </x:c>
      <x:c r="F395" s="27" t="str">
        <x:v>Required</x:v>
      </x:c>
      <x:c r="G395" s="27" t="str">
        <x:v>P2</x:v>
      </x:c>
      <x:c r="H395" s="27" t="str">
        <x:v>Not Started</x:v>
      </x:c>
      <x:c r="I395" s="27" t="str">
        <x:v>Janfon</x:v>
      </x:c>
      <x:c r="J395" s="21" t="str">
        <x:v>FBX clip</x:v>
      </x:c>
      <x:c r="K395" s="21" t="str">
        <x:v>Hands meet interaction target or carried item; event can be interrupted without a persistent bad pose.</x:v>
      </x:c>
      <x:c r="L395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95" s="21" t="str"/>
    </x:row>
    <x:row r="396" ht="46" customHeight="1">
      <x:c r="A396" s="24" t="str">
        <x:v>ANIM-392</x:v>
      </x:c>
      <x:c r="B396" s="21" t="str">
        <x:v>Interaction and social</x:v>
      </x:c>
      <x:c r="C396" s="21" t="str">
        <x:v>Emote neutral</x:v>
      </x:c>
      <x:c r="D396" s="21" t="str">
        <x:v>Third person</x:v>
      </x:c>
      <x:c r="E396" s="21" t="str">
        <x:v>Default</x:v>
      </x:c>
      <x:c r="F396" s="27" t="str">
        <x:v>Required</x:v>
      </x:c>
      <x:c r="G396" s="27" t="str">
        <x:v>P2</x:v>
      </x:c>
      <x:c r="H396" s="27" t="str">
        <x:v>Not Started</x:v>
      </x:c>
      <x:c r="I396" s="27" t="str">
        <x:v>Janfon</x:v>
      </x:c>
      <x:c r="J396" s="21" t="str">
        <x:v>FBX clip</x:v>
      </x:c>
      <x:c r="K396" s="21" t="str">
        <x:v>Hands meet interaction target or carried item; event can be interrupted without a persistent bad pose.</x:v>
      </x:c>
      <x:c r="L396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96" s="21" t="str"/>
    </x:row>
    <x:row r="397" ht="46" customHeight="1">
      <x:c r="A397" s="24" t="str">
        <x:v>ANIM-393</x:v>
      </x:c>
      <x:c r="B397" s="21" t="str">
        <x:v>Interaction and social</x:v>
      </x:c>
      <x:c r="C397" s="21" t="str">
        <x:v>Emote celebration</x:v>
      </x:c>
      <x:c r="D397" s="21" t="str">
        <x:v>Third person</x:v>
      </x:c>
      <x:c r="E397" s="21" t="str">
        <x:v>Default</x:v>
      </x:c>
      <x:c r="F397" s="27" t="str">
        <x:v>Required</x:v>
      </x:c>
      <x:c r="G397" s="27" t="str">
        <x:v>P2</x:v>
      </x:c>
      <x:c r="H397" s="27" t="str">
        <x:v>Not Started</x:v>
      </x:c>
      <x:c r="I397" s="27" t="str">
        <x:v>Janfon</x:v>
      </x:c>
      <x:c r="J397" s="21" t="str">
        <x:v>FBX clip</x:v>
      </x:c>
      <x:c r="K397" s="21" t="str">
        <x:v>Hands meet interaction target or carried item; event can be interrupted without a persistent bad pose.</x:v>
      </x:c>
      <x:c r="L397" s="21" t="str">
        <x:v>SRC-001: scripts/unit_extensions/default_player_unit/states/player_character_state_interacting.lua; SRC-001: scripts/unit_extensions/default_player_unit/states/player_character_state_inspecting.lua; SRC-001: scripts/unit_extensions/default_player_unit/states/player_character_state_emote.lua</x:v>
      </x:c>
      <x:c r="M397" s="21" t="str"/>
    </x:row>
    <x:row r="398" ht="46" customHeight="1">
      <x:c r="A398" s="24" t="str">
        <x:v>ANIM-394</x:v>
      </x:c>
      <x:c r="B398" s="21" t="str">
        <x:v>Career skill</x:v>
      </x:c>
      <x:c r="C398" s="21" t="str">
        <x:v>Skaven Ingenuity: Bag ready</x:v>
      </x:c>
      <x:c r="D398" s="21" t="str">
        <x:v>Third person</x:v>
      </x:c>
      <x:c r="E398" s="21" t="str">
        <x:v>Equip / present</x:v>
      </x:c>
      <x:c r="F398" s="27" t="str">
        <x:v>Required</x:v>
      </x:c>
      <x:c r="G398" s="27" t="str">
        <x:v>P0</x:v>
      </x:c>
      <x:c r="H398" s="27" t="str">
        <x:v>Not Started</x:v>
      </x:c>
      <x:c r="I398" s="27" t="str">
        <x:v>Janfon</x:v>
      </x:c>
      <x:c r="J398" s="21" t="str">
        <x:v>FBX clip</x:v>
      </x:c>
      <x:c r="K398" s="21" t="str">
        <x:v>Gameplay notify timing is marked; hands contact bag/item; no weapon or bag clipping at the event frame.</x:v>
      </x:c>
      <x:c r="L398" s="21" t="str">
        <x:v>SRC-022: vt2-pusfume-1p/docs/PUSFUME_CAREER_SPEC_V2.md; SRC-023: vt2-pusfume-1p/docs/CAREER_KIT.md; SRC-017: scripts/ui/hud_ui/ability_ui.lua and career_ability_bar_ui.lua</x:v>
      </x:c>
      <x:c r="M398" s="21" t="str"/>
    </x:row>
    <x:row r="399" ht="46" customHeight="1">
      <x:c r="A399" s="24" t="str">
        <x:v>ANIM-395</x:v>
      </x:c>
      <x:c r="B399" s="21" t="str">
        <x:v>Career skill</x:v>
      </x:c>
      <x:c r="C399" s="21" t="str">
        <x:v>Skaven Ingenuity: Bag ready</x:v>
      </x:c>
      <x:c r="D399" s="21" t="str">
        <x:v>First person</x:v>
      </x:c>
      <x:c r="E399" s="21" t="str">
        <x:v>Equip / present</x:v>
      </x:c>
      <x:c r="F399" s="27" t="str">
        <x:v>Required</x:v>
      </x:c>
      <x:c r="G399" s="27" t="str">
        <x:v>P0</x:v>
      </x:c>
      <x:c r="H399" s="27" t="str">
        <x:v>Not Started</x:v>
      </x:c>
      <x:c r="I399" s="27" t="str">
        <x:v>Janfon</x:v>
      </x:c>
      <x:c r="J399" s="21" t="str">
        <x:v>FBX clip</x:v>
      </x:c>
      <x:c r="K399" s="21" t="str">
        <x:v>Gameplay notify timing is marked; hands contact bag/item; no weapon or bag clipping at the event frame.</x:v>
      </x:c>
      <x:c r="L399" s="21" t="str">
        <x:v>SRC-022: vt2-pusfume-1p/docs/PUSFUME_CAREER_SPEC_V2.md; SRC-023: vt2-pusfume-1p/docs/CAREER_KIT.md; SRC-017: scripts/ui/hud_ui/ability_ui.lua and career_ability_bar_ui.lua</x:v>
      </x:c>
      <x:c r="M399" s="21" t="str"/>
    </x:row>
    <x:row r="400" ht="46" customHeight="1">
      <x:c r="A400" s="24" t="str">
        <x:v>ANIM-396</x:v>
      </x:c>
      <x:c r="B400" s="21" t="str">
        <x:v>Career skill</x:v>
      </x:c>
      <x:c r="C400" s="21" t="str">
        <x:v>Skaven Ingenuity: Bag deploy</x:v>
      </x:c>
      <x:c r="D400" s="21" t="str">
        <x:v>Third person</x:v>
      </x:c>
      <x:c r="E400" s="21" t="str">
        <x:v>Place on ground</x:v>
      </x:c>
      <x:c r="F400" s="27" t="str">
        <x:v>Required</x:v>
      </x:c>
      <x:c r="G400" s="27" t="str">
        <x:v>P0</x:v>
      </x:c>
      <x:c r="H400" s="27" t="str">
        <x:v>Not Started</x:v>
      </x:c>
      <x:c r="I400" s="27" t="str">
        <x:v>Janfon</x:v>
      </x:c>
      <x:c r="J400" s="21" t="str">
        <x:v>FBX clip</x:v>
      </x:c>
      <x:c r="K400" s="21" t="str">
        <x:v>Gameplay notify timing is marked; hands contact bag/item; no weapon or bag clipping at the event frame.</x:v>
      </x:c>
      <x:c r="L400" s="21" t="str">
        <x:v>SRC-022: vt2-pusfume-1p/docs/PUSFUME_CAREER_SPEC_V2.md; SRC-023: vt2-pusfume-1p/docs/CAREER_KIT.md; SRC-017: scripts/ui/hud_ui/ability_ui.lua and career_ability_bar_ui.lua</x:v>
      </x:c>
      <x:c r="M400" s="21" t="str"/>
    </x:row>
    <x:row r="401" ht="46" customHeight="1">
      <x:c r="A401" s="24" t="str">
        <x:v>ANIM-397</x:v>
      </x:c>
      <x:c r="B401" s="21" t="str">
        <x:v>Career skill</x:v>
      </x:c>
      <x:c r="C401" s="21" t="str">
        <x:v>Skaven Ingenuity: Bag deploy</x:v>
      </x:c>
      <x:c r="D401" s="21" t="str">
        <x:v>First person</x:v>
      </x:c>
      <x:c r="E401" s="21" t="str">
        <x:v>Place on ground</x:v>
      </x:c>
      <x:c r="F401" s="27" t="str">
        <x:v>Required</x:v>
      </x:c>
      <x:c r="G401" s="27" t="str">
        <x:v>P0</x:v>
      </x:c>
      <x:c r="H401" s="27" t="str">
        <x:v>Not Started</x:v>
      </x:c>
      <x:c r="I401" s="27" t="str">
        <x:v>Janfon</x:v>
      </x:c>
      <x:c r="J401" s="21" t="str">
        <x:v>FBX clip</x:v>
      </x:c>
      <x:c r="K401" s="21" t="str">
        <x:v>Gameplay notify timing is marked; hands contact bag/item; no weapon or bag clipping at the event frame.</x:v>
      </x:c>
      <x:c r="L401" s="21" t="str">
        <x:v>SRC-022: vt2-pusfume-1p/docs/PUSFUME_CAREER_SPEC_V2.md; SRC-023: vt2-pusfume-1p/docs/CAREER_KIT.md; SRC-017: scripts/ui/hud_ui/ability_ui.lua and career_ability_bar_ui.lua</x:v>
      </x:c>
      <x:c r="M401" s="21" t="str"/>
    </x:row>
    <x:row r="402" ht="46" customHeight="1">
      <x:c r="A402" s="24" t="str">
        <x:v>ANIM-398</x:v>
      </x:c>
      <x:c r="B402" s="21" t="str">
        <x:v>Career skill</x:v>
      </x:c>
      <x:c r="C402" s="21" t="str">
        <x:v>Skaven Ingenuity: Bag deploy recovery</x:v>
      </x:c>
      <x:c r="D402" s="21" t="str">
        <x:v>Third person</x:v>
      </x:c>
      <x:c r="E402" s="21" t="str">
        <x:v>Return to weapon-ready</x:v>
      </x:c>
      <x:c r="F402" s="27" t="str">
        <x:v>Required</x:v>
      </x:c>
      <x:c r="G402" s="27" t="str">
        <x:v>P0</x:v>
      </x:c>
      <x:c r="H402" s="27" t="str">
        <x:v>Not Started</x:v>
      </x:c>
      <x:c r="I402" s="27" t="str">
        <x:v>Janfon</x:v>
      </x:c>
      <x:c r="J402" s="21" t="str">
        <x:v>FBX clip</x:v>
      </x:c>
      <x:c r="K402" s="21" t="str">
        <x:v>Gameplay notify timing is marked; hands contact bag/item; no weapon or bag clipping at the event frame.</x:v>
      </x:c>
      <x:c r="L402" s="21" t="str">
        <x:v>SRC-022: vt2-pusfume-1p/docs/PUSFUME_CAREER_SPEC_V2.md; SRC-023: vt2-pusfume-1p/docs/CAREER_KIT.md; SRC-017: scripts/ui/hud_ui/ability_ui.lua and career_ability_bar_ui.lua</x:v>
      </x:c>
      <x:c r="M402" s="21" t="str"/>
    </x:row>
    <x:row r="403" ht="46" customHeight="1">
      <x:c r="A403" s="24" t="str">
        <x:v>ANIM-399</x:v>
      </x:c>
      <x:c r="B403" s="21" t="str">
        <x:v>Career skill</x:v>
      </x:c>
      <x:c r="C403" s="21" t="str">
        <x:v>Skaven Ingenuity: Bag deploy recovery</x:v>
      </x:c>
      <x:c r="D403" s="21" t="str">
        <x:v>First person</x:v>
      </x:c>
      <x:c r="E403" s="21" t="str">
        <x:v>Return to weapon-ready</x:v>
      </x:c>
      <x:c r="F403" s="27" t="str">
        <x:v>Required</x:v>
      </x:c>
      <x:c r="G403" s="27" t="str">
        <x:v>P0</x:v>
      </x:c>
      <x:c r="H403" s="27" t="str">
        <x:v>Not Started</x:v>
      </x:c>
      <x:c r="I403" s="27" t="str">
        <x:v>Janfon</x:v>
      </x:c>
      <x:c r="J403" s="21" t="str">
        <x:v>FBX clip</x:v>
      </x:c>
      <x:c r="K403" s="21" t="str">
        <x:v>Gameplay notify timing is marked; hands contact bag/item; no weapon or bag clipping at the event frame.</x:v>
      </x:c>
      <x:c r="L403" s="21" t="str">
        <x:v>SRC-022: vt2-pusfume-1p/docs/PUSFUME_CAREER_SPEC_V2.md; SRC-023: vt2-pusfume-1p/docs/CAREER_KIT.md; SRC-017: scripts/ui/hud_ui/ability_ui.lua and career_ability_bar_ui.lua</x:v>
      </x:c>
      <x:c r="M403" s="21" t="str"/>
    </x:row>
    <x:row r="404" ht="46" customHeight="1">
      <x:c r="A404" s="24" t="str">
        <x:v>ANIM-400</x:v>
      </x:c>
      <x:c r="B404" s="21" t="str">
        <x:v>Career skill</x:v>
      </x:c>
      <x:c r="C404" s="21" t="str">
        <x:v>Skaven Ingenuity: Bag use by Pusfume</x:v>
      </x:c>
      <x:c r="D404" s="21" t="str">
        <x:v>Third person</x:v>
      </x:c>
      <x:c r="E404" s="21" t="str">
        <x:v>Interact</x:v>
      </x:c>
      <x:c r="F404" s="27" t="str">
        <x:v>Required</x:v>
      </x:c>
      <x:c r="G404" s="27" t="str">
        <x:v>P0</x:v>
      </x:c>
      <x:c r="H404" s="27" t="str">
        <x:v>Not Started</x:v>
      </x:c>
      <x:c r="I404" s="27" t="str">
        <x:v>Janfon</x:v>
      </x:c>
      <x:c r="J404" s="21" t="str">
        <x:v>FBX clip</x:v>
      </x:c>
      <x:c r="K404" s="21" t="str">
        <x:v>Gameplay notify timing is marked; hands contact bag/item; no weapon or bag clipping at the event frame.</x:v>
      </x:c>
      <x:c r="L404" s="21" t="str">
        <x:v>SRC-022: vt2-pusfume-1p/docs/PUSFUME_CAREER_SPEC_V2.md; SRC-023: vt2-pusfume-1p/docs/CAREER_KIT.md; SRC-017: scripts/ui/hud_ui/ability_ui.lua and career_ability_bar_ui.lua</x:v>
      </x:c>
      <x:c r="M404" s="21" t="str"/>
    </x:row>
    <x:row r="405" ht="46" customHeight="1">
      <x:c r="A405" s="24" t="str">
        <x:v>ANIM-401</x:v>
      </x:c>
      <x:c r="B405" s="21" t="str">
        <x:v>Career skill</x:v>
      </x:c>
      <x:c r="C405" s="21" t="str">
        <x:v>Skaven Ingenuity: Bag use by Pusfume</x:v>
      </x:c>
      <x:c r="D405" s="21" t="str">
        <x:v>First person</x:v>
      </x:c>
      <x:c r="E405" s="21" t="str">
        <x:v>Interact</x:v>
      </x:c>
      <x:c r="F405" s="27" t="str">
        <x:v>Required</x:v>
      </x:c>
      <x:c r="G405" s="27" t="str">
        <x:v>P0</x:v>
      </x:c>
      <x:c r="H405" s="27" t="str">
        <x:v>Not Started</x:v>
      </x:c>
      <x:c r="I405" s="27" t="str">
        <x:v>Janfon</x:v>
      </x:c>
      <x:c r="J405" s="21" t="str">
        <x:v>FBX clip</x:v>
      </x:c>
      <x:c r="K405" s="21" t="str">
        <x:v>Gameplay notify timing is marked; hands contact bag/item; no weapon or bag clipping at the event frame.</x:v>
      </x:c>
      <x:c r="L405" s="21" t="str">
        <x:v>SRC-022: vt2-pusfume-1p/docs/PUSFUME_CAREER_SPEC_V2.md; SRC-023: vt2-pusfume-1p/docs/CAREER_KIT.md; SRC-017: scripts/ui/hud_ui/ability_ui.lua and career_ability_bar_ui.lua</x:v>
      </x:c>
      <x:c r="M405" s="21" t="str"/>
    </x:row>
    <x:row r="406" ht="46" customHeight="1">
      <x:c r="A406" s="24" t="str">
        <x:v>ANIM-402</x:v>
      </x:c>
      <x:c r="B406" s="21" t="str">
        <x:v>Career skill</x:v>
      </x:c>
      <x:c r="C406" s="21" t="str">
        <x:v>Skaven Ingenuity: Bag use by ally</x:v>
      </x:c>
      <x:c r="D406" s="21" t="str">
        <x:v>Third person</x:v>
      </x:c>
      <x:c r="E406" s="21" t="str">
        <x:v>Interact</x:v>
      </x:c>
      <x:c r="F406" s="27" t="str">
        <x:v>Required</x:v>
      </x:c>
      <x:c r="G406" s="27" t="str">
        <x:v>P0</x:v>
      </x:c>
      <x:c r="H406" s="27" t="str">
        <x:v>Not Started</x:v>
      </x:c>
      <x:c r="I406" s="27" t="str">
        <x:v>Janfon</x:v>
      </x:c>
      <x:c r="J406" s="21" t="str">
        <x:v>FBX clip</x:v>
      </x:c>
      <x:c r="K406" s="21" t="str">
        <x:v>Gameplay notify timing is marked; hands contact bag/item; no weapon or bag clipping at the event frame.</x:v>
      </x:c>
      <x:c r="L406" s="21" t="str">
        <x:v>SRC-022: vt2-pusfume-1p/docs/PUSFUME_CAREER_SPEC_V2.md; SRC-023: vt2-pusfume-1p/docs/CAREER_KIT.md; SRC-017: scripts/ui/hud_ui/ability_ui.lua and career_ability_bar_ui.lua</x:v>
      </x:c>
      <x:c r="M406" s="21" t="str"/>
    </x:row>
    <x:row r="407" ht="46" customHeight="1">
      <x:c r="A407" s="24" t="str">
        <x:v>ANIM-403</x:v>
      </x:c>
      <x:c r="B407" s="21" t="str">
        <x:v>Career skill</x:v>
      </x:c>
      <x:c r="C407" s="21" t="str">
        <x:v>Skaven Ingenuity: Bag use by ally</x:v>
      </x:c>
      <x:c r="D407" s="21" t="str">
        <x:v>First person</x:v>
      </x:c>
      <x:c r="E407" s="21" t="str">
        <x:v>Interact</x:v>
      </x:c>
      <x:c r="F407" s="27" t="str">
        <x:v>Required</x:v>
      </x:c>
      <x:c r="G407" s="27" t="str">
        <x:v>P0</x:v>
      </x:c>
      <x:c r="H407" s="27" t="str">
        <x:v>Not Started</x:v>
      </x:c>
      <x:c r="I407" s="27" t="str">
        <x:v>Janfon</x:v>
      </x:c>
      <x:c r="J407" s="21" t="str">
        <x:v>FBX clip</x:v>
      </x:c>
      <x:c r="K407" s="21" t="str">
        <x:v>Gameplay notify timing is marked; hands contact bag/item; no weapon or bag clipping at the event frame.</x:v>
      </x:c>
      <x:c r="L407" s="21" t="str">
        <x:v>SRC-022: vt2-pusfume-1p/docs/PUSFUME_CAREER_SPEC_V2.md; SRC-023: vt2-pusfume-1p/docs/CAREER_KIT.md; SRC-017: scripts/ui/hud_ui/ability_ui.lua and career_ability_bar_ui.lua</x:v>
      </x:c>
      <x:c r="M407" s="21" t="str"/>
    </x:row>
    <x:row r="408" ht="46" customHeight="1">
      <x:c r="A408" s="24" t="str">
        <x:v>ANIM-404</x:v>
      </x:c>
      <x:c r="B408" s="21" t="str">
        <x:v>Career skill</x:v>
      </x:c>
      <x:c r="C408" s="21" t="str">
        <x:v>Skaven Ingenuity: Potion enchant</x:v>
      </x:c>
      <x:c r="D408" s="21" t="str">
        <x:v>Third person</x:v>
      </x:c>
      <x:c r="E408" s="21" t="str">
        <x:v>Drinkable inventory</x:v>
      </x:c>
      <x:c r="F408" s="27" t="str">
        <x:v>Required</x:v>
      </x:c>
      <x:c r="G408" s="27" t="str">
        <x:v>P0</x:v>
      </x:c>
      <x:c r="H408" s="27" t="str">
        <x:v>Not Started</x:v>
      </x:c>
      <x:c r="I408" s="27" t="str">
        <x:v>Janfon</x:v>
      </x:c>
      <x:c r="J408" s="21" t="str">
        <x:v>FBX clip</x:v>
      </x:c>
      <x:c r="K408" s="21" t="str">
        <x:v>Gameplay notify timing is marked; hands contact bag/item; no weapon or bag clipping at the event frame.</x:v>
      </x:c>
      <x:c r="L408" s="21" t="str">
        <x:v>SRC-022: vt2-pusfume-1p/docs/PUSFUME_CAREER_SPEC_V2.md; SRC-023: vt2-pusfume-1p/docs/CAREER_KIT.md; SRC-017: scripts/ui/hud_ui/ability_ui.lua and career_ability_bar_ui.lua</x:v>
      </x:c>
      <x:c r="M408" s="21" t="str"/>
    </x:row>
    <x:row r="409" ht="46" customHeight="1">
      <x:c r="A409" s="24" t="str">
        <x:v>ANIM-405</x:v>
      </x:c>
      <x:c r="B409" s="21" t="str">
        <x:v>Career skill</x:v>
      </x:c>
      <x:c r="C409" s="21" t="str">
        <x:v>Skaven Ingenuity: Potion enchant</x:v>
      </x:c>
      <x:c r="D409" s="21" t="str">
        <x:v>First person</x:v>
      </x:c>
      <x:c r="E409" s="21" t="str">
        <x:v>Drinkable inventory</x:v>
      </x:c>
      <x:c r="F409" s="27" t="str">
        <x:v>Required</x:v>
      </x:c>
      <x:c r="G409" s="27" t="str">
        <x:v>P0</x:v>
      </x:c>
      <x:c r="H409" s="27" t="str">
        <x:v>Not Started</x:v>
      </x:c>
      <x:c r="I409" s="27" t="str">
        <x:v>Janfon</x:v>
      </x:c>
      <x:c r="J409" s="21" t="str">
        <x:v>FBX clip</x:v>
      </x:c>
      <x:c r="K409" s="21" t="str">
        <x:v>Gameplay notify timing is marked; hands contact bag/item; no weapon or bag clipping at the event frame.</x:v>
      </x:c>
      <x:c r="L409" s="21" t="str">
        <x:v>SRC-022: vt2-pusfume-1p/docs/PUSFUME_CAREER_SPEC_V2.md; SRC-023: vt2-pusfume-1p/docs/CAREER_KIT.md; SRC-017: scripts/ui/hud_ui/ability_ui.lua and career_ability_bar_ui.lua</x:v>
      </x:c>
      <x:c r="M409" s="21" t="str"/>
    </x:row>
    <x:row r="410" ht="46" customHeight="1">
      <x:c r="A410" s="24" t="str">
        <x:v>ANIM-406</x:v>
      </x:c>
      <x:c r="B410" s="21" t="str">
        <x:v>Career skill</x:v>
      </x:c>
      <x:c r="C410" s="21" t="str">
        <x:v>Skaven Ingenuity: Bomb upgrade</x:v>
      </x:c>
      <x:c r="D410" s="21" t="str">
        <x:v>Third person</x:v>
      </x:c>
      <x:c r="E410" s="21" t="str">
        <x:v>Standard to gas bomb</x:v>
      </x:c>
      <x:c r="F410" s="27" t="str">
        <x:v>Required</x:v>
      </x:c>
      <x:c r="G410" s="27" t="str">
        <x:v>P0</x:v>
      </x:c>
      <x:c r="H410" s="27" t="str">
        <x:v>Not Started</x:v>
      </x:c>
      <x:c r="I410" s="27" t="str">
        <x:v>Janfon</x:v>
      </x:c>
      <x:c r="J410" s="21" t="str">
        <x:v>FBX clip</x:v>
      </x:c>
      <x:c r="K410" s="21" t="str">
        <x:v>Gameplay notify timing is marked; hands contact bag/item; no weapon or bag clipping at the event frame.</x:v>
      </x:c>
      <x:c r="L410" s="21" t="str">
        <x:v>SRC-022: vt2-pusfume-1p/docs/PUSFUME_CAREER_SPEC_V2.md; SRC-023: vt2-pusfume-1p/docs/CAREER_KIT.md; SRC-017: scripts/ui/hud_ui/ability_ui.lua and career_ability_bar_ui.lua</x:v>
      </x:c>
      <x:c r="M410" s="21" t="str"/>
    </x:row>
    <x:row r="411" ht="46" customHeight="1">
      <x:c r="A411" s="24" t="str">
        <x:v>ANIM-407</x:v>
      </x:c>
      <x:c r="B411" s="21" t="str">
        <x:v>Career skill</x:v>
      </x:c>
      <x:c r="C411" s="21" t="str">
        <x:v>Skaven Ingenuity: Bomb upgrade</x:v>
      </x:c>
      <x:c r="D411" s="21" t="str">
        <x:v>First person</x:v>
      </x:c>
      <x:c r="E411" s="21" t="str">
        <x:v>Standard to gas bomb</x:v>
      </x:c>
      <x:c r="F411" s="27" t="str">
        <x:v>Required</x:v>
      </x:c>
      <x:c r="G411" s="27" t="str">
        <x:v>P0</x:v>
      </x:c>
      <x:c r="H411" s="27" t="str">
        <x:v>Not Started</x:v>
      </x:c>
      <x:c r="I411" s="27" t="str">
        <x:v>Janfon</x:v>
      </x:c>
      <x:c r="J411" s="21" t="str">
        <x:v>FBX clip</x:v>
      </x:c>
      <x:c r="K411" s="21" t="str">
        <x:v>Gameplay notify timing is marked; hands contact bag/item; no weapon or bag clipping at the event frame.</x:v>
      </x:c>
      <x:c r="L411" s="21" t="str">
        <x:v>SRC-022: vt2-pusfume-1p/docs/PUSFUME_CAREER_SPEC_V2.md; SRC-023: vt2-pusfume-1p/docs/CAREER_KIT.md; SRC-017: scripts/ui/hud_ui/ability_ui.lua and career_ability_bar_ui.lua</x:v>
      </x:c>
      <x:c r="M411" s="21" t="str"/>
    </x:row>
    <x:row r="412" ht="46" customHeight="1">
      <x:c r="A412" s="24" t="str">
        <x:v>ANIM-408</x:v>
      </x:c>
      <x:c r="B412" s="21" t="str">
        <x:v>Career skill</x:v>
      </x:c>
      <x:c r="C412" s="21" t="str">
        <x:v>Skaven Ingenuity: Gas-trap craft</x:v>
      </x:c>
      <x:c r="D412" s="21" t="str">
        <x:v>Third person</x:v>
      </x:c>
      <x:c r="E412" s="21" t="str">
        <x:v>Trap inventory</x:v>
      </x:c>
      <x:c r="F412" s="27" t="str">
        <x:v>Required</x:v>
      </x:c>
      <x:c r="G412" s="27" t="str">
        <x:v>P0</x:v>
      </x:c>
      <x:c r="H412" s="27" t="str">
        <x:v>Not Started</x:v>
      </x:c>
      <x:c r="I412" s="27" t="str">
        <x:v>Janfon</x:v>
      </x:c>
      <x:c r="J412" s="21" t="str">
        <x:v>FBX clip</x:v>
      </x:c>
      <x:c r="K412" s="21" t="str">
        <x:v>Gameplay notify timing is marked; hands contact bag/item; no weapon or bag clipping at the event frame.</x:v>
      </x:c>
      <x:c r="L412" s="21" t="str">
        <x:v>SRC-022: vt2-pusfume-1p/docs/PUSFUME_CAREER_SPEC_V2.md; SRC-023: vt2-pusfume-1p/docs/CAREER_KIT.md; SRC-017: scripts/ui/hud_ui/ability_ui.lua and career_ability_bar_ui.lua</x:v>
      </x:c>
      <x:c r="M412" s="21" t="str"/>
    </x:row>
    <x:row r="413" ht="46" customHeight="1">
      <x:c r="A413" s="24" t="str">
        <x:v>ANIM-409</x:v>
      </x:c>
      <x:c r="B413" s="21" t="str">
        <x:v>Career skill</x:v>
      </x:c>
      <x:c r="C413" s="21" t="str">
        <x:v>Skaven Ingenuity: Gas-trap craft</x:v>
      </x:c>
      <x:c r="D413" s="21" t="str">
        <x:v>First person</x:v>
      </x:c>
      <x:c r="E413" s="21" t="str">
        <x:v>Trap inventory</x:v>
      </x:c>
      <x:c r="F413" s="27" t="str">
        <x:v>Required</x:v>
      </x:c>
      <x:c r="G413" s="27" t="str">
        <x:v>P0</x:v>
      </x:c>
      <x:c r="H413" s="27" t="str">
        <x:v>Not Started</x:v>
      </x:c>
      <x:c r="I413" s="27" t="str">
        <x:v>Janfon</x:v>
      </x:c>
      <x:c r="J413" s="21" t="str">
        <x:v>FBX clip</x:v>
      </x:c>
      <x:c r="K413" s="21" t="str">
        <x:v>Gameplay notify timing is marked; hands contact bag/item; no weapon or bag clipping at the event frame.</x:v>
      </x:c>
      <x:c r="L413" s="21" t="str">
        <x:v>SRC-022: vt2-pusfume-1p/docs/PUSFUME_CAREER_SPEC_V2.md; SRC-023: vt2-pusfume-1p/docs/CAREER_KIT.md; SRC-017: scripts/ui/hud_ui/ability_ui.lua and career_ability_bar_ui.lua</x:v>
      </x:c>
      <x:c r="M413" s="21" t="str"/>
    </x:row>
    <x:row r="414" ht="46" customHeight="1">
      <x:c r="A414" s="24" t="str">
        <x:v>ANIM-410</x:v>
      </x:c>
      <x:c r="B414" s="21" t="str">
        <x:v>Career skill</x:v>
      </x:c>
      <x:c r="C414" s="21" t="str">
        <x:v>Skaven Ingenuity: Gas-trap place</x:v>
      </x:c>
      <x:c r="D414" s="21" t="str">
        <x:v>Third person</x:v>
      </x:c>
      <x:c r="E414" s="21" t="str">
        <x:v>Ground placement</x:v>
      </x:c>
      <x:c r="F414" s="27" t="str">
        <x:v>Required</x:v>
      </x:c>
      <x:c r="G414" s="27" t="str">
        <x:v>P0</x:v>
      </x:c>
      <x:c r="H414" s="27" t="str">
        <x:v>Not Started</x:v>
      </x:c>
      <x:c r="I414" s="27" t="str">
        <x:v>Janfon</x:v>
      </x:c>
      <x:c r="J414" s="21" t="str">
        <x:v>FBX clip</x:v>
      </x:c>
      <x:c r="K414" s="21" t="str">
        <x:v>Gameplay notify timing is marked; hands contact bag/item; no weapon or bag clipping at the event frame.</x:v>
      </x:c>
      <x:c r="L414" s="21" t="str">
        <x:v>SRC-022: vt2-pusfume-1p/docs/PUSFUME_CAREER_SPEC_V2.md; SRC-023: vt2-pusfume-1p/docs/CAREER_KIT.md; SRC-017: scripts/ui/hud_ui/ability_ui.lua and career_ability_bar_ui.lua</x:v>
      </x:c>
      <x:c r="M414" s="21" t="str"/>
    </x:row>
    <x:row r="415" ht="46" customHeight="1">
      <x:c r="A415" s="24" t="str">
        <x:v>ANIM-411</x:v>
      </x:c>
      <x:c r="B415" s="21" t="str">
        <x:v>Career skill</x:v>
      </x:c>
      <x:c r="C415" s="21" t="str">
        <x:v>Skaven Ingenuity: Gas-trap place</x:v>
      </x:c>
      <x:c r="D415" s="21" t="str">
        <x:v>First person</x:v>
      </x:c>
      <x:c r="E415" s="21" t="str">
        <x:v>Ground placement</x:v>
      </x:c>
      <x:c r="F415" s="27" t="str">
        <x:v>Required</x:v>
      </x:c>
      <x:c r="G415" s="27" t="str">
        <x:v>P0</x:v>
      </x:c>
      <x:c r="H415" s="27" t="str">
        <x:v>Not Started</x:v>
      </x:c>
      <x:c r="I415" s="27" t="str">
        <x:v>Janfon</x:v>
      </x:c>
      <x:c r="J415" s="21" t="str">
        <x:v>FBX clip</x:v>
      </x:c>
      <x:c r="K415" s="21" t="str">
        <x:v>Gameplay notify timing is marked; hands contact bag/item; no weapon or bag clipping at the event frame.</x:v>
      </x:c>
      <x:c r="L415" s="21" t="str">
        <x:v>SRC-022: vt2-pusfume-1p/docs/PUSFUME_CAREER_SPEC_V2.md; SRC-023: vt2-pusfume-1p/docs/CAREER_KIT.md; SRC-017: scripts/ui/hud_ui/ability_ui.lua and career_ability_bar_ui.lua</x:v>
      </x:c>
      <x:c r="M415" s="21" t="str"/>
    </x:row>
    <x:row r="416" ht="46" customHeight="1">
      <x:c r="A416" s="24" t="str">
        <x:v>ANIM-412</x:v>
      </x:c>
      <x:c r="B416" s="21" t="str">
        <x:v>Career skill</x:v>
      </x:c>
      <x:c r="C416" s="21" t="str">
        <x:v>Skaven Ingenuity: Craft success</x:v>
      </x:c>
      <x:c r="D416" s="21" t="str">
        <x:v>Third person</x:v>
      </x:c>
      <x:c r="E416" s="21" t="str">
        <x:v>Celebrate / acknowledge</x:v>
      </x:c>
      <x:c r="F416" s="27" t="str">
        <x:v>Required</x:v>
      </x:c>
      <x:c r="G416" s="27" t="str">
        <x:v>P0</x:v>
      </x:c>
      <x:c r="H416" s="27" t="str">
        <x:v>Not Started</x:v>
      </x:c>
      <x:c r="I416" s="27" t="str">
        <x:v>Janfon</x:v>
      </x:c>
      <x:c r="J416" s="21" t="str">
        <x:v>FBX clip</x:v>
      </x:c>
      <x:c r="K416" s="21" t="str">
        <x:v>Gameplay notify timing is marked; hands contact bag/item; no weapon or bag clipping at the event frame.</x:v>
      </x:c>
      <x:c r="L416" s="21" t="str">
        <x:v>SRC-022: vt2-pusfume-1p/docs/PUSFUME_CAREER_SPEC_V2.md; SRC-023: vt2-pusfume-1p/docs/CAREER_KIT.md; SRC-017: scripts/ui/hud_ui/ability_ui.lua and career_ability_bar_ui.lua</x:v>
      </x:c>
      <x:c r="M416" s="21" t="str"/>
    </x:row>
    <x:row r="417" ht="46" customHeight="1">
      <x:c r="A417" s="24" t="str">
        <x:v>ANIM-413</x:v>
      </x:c>
      <x:c r="B417" s="21" t="str">
        <x:v>Career skill</x:v>
      </x:c>
      <x:c r="C417" s="21" t="str">
        <x:v>Skaven Ingenuity: Craft success</x:v>
      </x:c>
      <x:c r="D417" s="21" t="str">
        <x:v>First person</x:v>
      </x:c>
      <x:c r="E417" s="21" t="str">
        <x:v>Celebrate / acknowledge</x:v>
      </x:c>
      <x:c r="F417" s="27" t="str">
        <x:v>Required</x:v>
      </x:c>
      <x:c r="G417" s="27" t="str">
        <x:v>P0</x:v>
      </x:c>
      <x:c r="H417" s="27" t="str">
        <x:v>Not Started</x:v>
      </x:c>
      <x:c r="I417" s="27" t="str">
        <x:v>Janfon</x:v>
      </x:c>
      <x:c r="J417" s="21" t="str">
        <x:v>FBX clip</x:v>
      </x:c>
      <x:c r="K417" s="21" t="str">
        <x:v>Gameplay notify timing is marked; hands contact bag/item; no weapon or bag clipping at the event frame.</x:v>
      </x:c>
      <x:c r="L417" s="21" t="str">
        <x:v>SRC-022: vt2-pusfume-1p/docs/PUSFUME_CAREER_SPEC_V2.md; SRC-023: vt2-pusfume-1p/docs/CAREER_KIT.md; SRC-017: scripts/ui/hud_ui/ability_ui.lua and career_ability_bar_ui.lua</x:v>
      </x:c>
      <x:c r="M417" s="21" t="str"/>
    </x:row>
    <x:row r="418" ht="46" customHeight="1">
      <x:c r="A418" s="24" t="str">
        <x:v>ANIM-414</x:v>
      </x:c>
      <x:c r="B418" s="21" t="str">
        <x:v>Career skill</x:v>
      </x:c>
      <x:c r="C418" s="21" t="str">
        <x:v>Skaven Ingenuity: Craft failure</x:v>
      </x:c>
      <x:c r="D418" s="21" t="str">
        <x:v>Third person</x:v>
      </x:c>
      <x:c r="E418" s="21" t="str">
        <x:v>No valid item</x:v>
      </x:c>
      <x:c r="F418" s="27" t="str">
        <x:v>Required</x:v>
      </x:c>
      <x:c r="G418" s="27" t="str">
        <x:v>P0</x:v>
      </x:c>
      <x:c r="H418" s="27" t="str">
        <x:v>Not Started</x:v>
      </x:c>
      <x:c r="I418" s="27" t="str">
        <x:v>Janfon</x:v>
      </x:c>
      <x:c r="J418" s="21" t="str">
        <x:v>FBX clip</x:v>
      </x:c>
      <x:c r="K418" s="21" t="str">
        <x:v>Gameplay notify timing is marked; hands contact bag/item; no weapon or bag clipping at the event frame.</x:v>
      </x:c>
      <x:c r="L418" s="21" t="str">
        <x:v>SRC-022: vt2-pusfume-1p/docs/PUSFUME_CAREER_SPEC_V2.md; SRC-023: vt2-pusfume-1p/docs/CAREER_KIT.md; SRC-017: scripts/ui/hud_ui/ability_ui.lua and career_ability_bar_ui.lua</x:v>
      </x:c>
      <x:c r="M418" s="21" t="str"/>
    </x:row>
    <x:row r="419" ht="46" customHeight="1">
      <x:c r="A419" s="24" t="str">
        <x:v>ANIM-415</x:v>
      </x:c>
      <x:c r="B419" s="21" t="str">
        <x:v>Career skill</x:v>
      </x:c>
      <x:c r="C419" s="21" t="str">
        <x:v>Skaven Ingenuity: Craft failure</x:v>
      </x:c>
      <x:c r="D419" s="21" t="str">
        <x:v>First person</x:v>
      </x:c>
      <x:c r="E419" s="21" t="str">
        <x:v>No valid item</x:v>
      </x:c>
      <x:c r="F419" s="27" t="str">
        <x:v>Required</x:v>
      </x:c>
      <x:c r="G419" s="27" t="str">
        <x:v>P0</x:v>
      </x:c>
      <x:c r="H419" s="27" t="str">
        <x:v>Not Started</x:v>
      </x:c>
      <x:c r="I419" s="27" t="str">
        <x:v>Janfon</x:v>
      </x:c>
      <x:c r="J419" s="21" t="str">
        <x:v>FBX clip</x:v>
      </x:c>
      <x:c r="K419" s="21" t="str">
        <x:v>Gameplay notify timing is marked; hands contact bag/item; no weapon or bag clipping at the event frame.</x:v>
      </x:c>
      <x:c r="L419" s="21" t="str">
        <x:v>SRC-022: vt2-pusfume-1p/docs/PUSFUME_CAREER_SPEC_V2.md; SRC-023: vt2-pusfume-1p/docs/CAREER_KIT.md; SRC-017: scripts/ui/hud_ui/ability_ui.lua and career_ability_bar_ui.lua</x:v>
      </x:c>
      <x:c r="M419" s="21" t="str"/>
    </x:row>
    <x:row r="420" ht="46" customHeight="1">
      <x:c r="A420" s="24" t="str">
        <x:v>ANIM-416</x:v>
      </x:c>
      <x:c r="B420" s="21" t="str">
        <x:v>Career skill</x:v>
      </x:c>
      <x:c r="C420" s="21" t="str">
        <x:v>Skaven Ingenuity: Bag pickup</x:v>
      </x:c>
      <x:c r="D420" s="21" t="str">
        <x:v>Third person</x:v>
      </x:c>
      <x:c r="E420" s="21" t="str">
        <x:v>Recover station</x:v>
      </x:c>
      <x:c r="F420" s="27" t="str">
        <x:v>Required</x:v>
      </x:c>
      <x:c r="G420" s="27" t="str">
        <x:v>P0</x:v>
      </x:c>
      <x:c r="H420" s="27" t="str">
        <x:v>Not Started</x:v>
      </x:c>
      <x:c r="I420" s="27" t="str">
        <x:v>Janfon</x:v>
      </x:c>
      <x:c r="J420" s="21" t="str">
        <x:v>FBX clip</x:v>
      </x:c>
      <x:c r="K420" s="21" t="str">
        <x:v>Gameplay notify timing is marked; hands contact bag/item; no weapon or bag clipping at the event frame.</x:v>
      </x:c>
      <x:c r="L420" s="21" t="str">
        <x:v>SRC-022: vt2-pusfume-1p/docs/PUSFUME_CAREER_SPEC_V2.md; SRC-023: vt2-pusfume-1p/docs/CAREER_KIT.md; SRC-017: scripts/ui/hud_ui/ability_ui.lua and career_ability_bar_ui.lua</x:v>
      </x:c>
      <x:c r="M420" s="21" t="str"/>
    </x:row>
    <x:row r="421" ht="46" customHeight="1">
      <x:c r="A421" s="24" t="str">
        <x:v>ANIM-417</x:v>
      </x:c>
      <x:c r="B421" s="21" t="str">
        <x:v>Career skill</x:v>
      </x:c>
      <x:c r="C421" s="21" t="str">
        <x:v>Skaven Ingenuity: Bag pickup</x:v>
      </x:c>
      <x:c r="D421" s="21" t="str">
        <x:v>First person</x:v>
      </x:c>
      <x:c r="E421" s="21" t="str">
        <x:v>Recover station</x:v>
      </x:c>
      <x:c r="F421" s="27" t="str">
        <x:v>Required</x:v>
      </x:c>
      <x:c r="G421" s="27" t="str">
        <x:v>P0</x:v>
      </x:c>
      <x:c r="H421" s="27" t="str">
        <x:v>Not Started</x:v>
      </x:c>
      <x:c r="I421" s="27" t="str">
        <x:v>Janfon</x:v>
      </x:c>
      <x:c r="J421" s="21" t="str">
        <x:v>FBX clip</x:v>
      </x:c>
      <x:c r="K421" s="21" t="str">
        <x:v>Gameplay notify timing is marked; hands contact bag/item; no weapon or bag clipping at the event frame.</x:v>
      </x:c>
      <x:c r="L421" s="21" t="str">
        <x:v>SRC-022: vt2-pusfume-1p/docs/PUSFUME_CAREER_SPEC_V2.md; SRC-023: vt2-pusfume-1p/docs/CAREER_KIT.md; SRC-017: scripts/ui/hud_ui/ability_ui.lua and career_ability_bar_ui.lua</x:v>
      </x:c>
      <x:c r="M421" s="21" t="str"/>
    </x:row>
    <x:row r="422" ht="46" customHeight="1">
      <x:c r="A422" s="24" t="str">
        <x:v>ANIM-418</x:v>
      </x:c>
      <x:c r="B422" s="21" t="str">
        <x:v>Career skill</x:v>
      </x:c>
      <x:c r="C422" s="21" t="str">
        <x:v>Skaven Ingenuity: Bag interrupted</x:v>
      </x:c>
      <x:c r="D422" s="21" t="str">
        <x:v>Third person</x:v>
      </x:c>
      <x:c r="E422" s="21" t="str">
        <x:v>Damage/cancel</x:v>
      </x:c>
      <x:c r="F422" s="27" t="str">
        <x:v>Required</x:v>
      </x:c>
      <x:c r="G422" s="27" t="str">
        <x:v>P0</x:v>
      </x:c>
      <x:c r="H422" s="27" t="str">
        <x:v>Not Started</x:v>
      </x:c>
      <x:c r="I422" s="27" t="str">
        <x:v>Janfon</x:v>
      </x:c>
      <x:c r="J422" s="21" t="str">
        <x:v>FBX clip</x:v>
      </x:c>
      <x:c r="K422" s="21" t="str">
        <x:v>Gameplay notify timing is marked; hands contact bag/item; no weapon or bag clipping at the event frame.</x:v>
      </x:c>
      <x:c r="L422" s="21" t="str">
        <x:v>SRC-022: vt2-pusfume-1p/docs/PUSFUME_CAREER_SPEC_V2.md; SRC-023: vt2-pusfume-1p/docs/CAREER_KIT.md; SRC-017: scripts/ui/hud_ui/ability_ui.lua and career_ability_bar_ui.lua</x:v>
      </x:c>
      <x:c r="M422" s="21" t="str"/>
    </x:row>
    <x:row r="423" ht="46" customHeight="1">
      <x:c r="A423" s="24" t="str">
        <x:v>ANIM-419</x:v>
      </x:c>
      <x:c r="B423" s="21" t="str">
        <x:v>Career skill</x:v>
      </x:c>
      <x:c r="C423" s="21" t="str">
        <x:v>Skaven Ingenuity: Bag interrupted</x:v>
      </x:c>
      <x:c r="D423" s="21" t="str">
        <x:v>First person</x:v>
      </x:c>
      <x:c r="E423" s="21" t="str">
        <x:v>Damage/cancel</x:v>
      </x:c>
      <x:c r="F423" s="27" t="str">
        <x:v>Required</x:v>
      </x:c>
      <x:c r="G423" s="27" t="str">
        <x:v>P0</x:v>
      </x:c>
      <x:c r="H423" s="27" t="str">
        <x:v>Not Started</x:v>
      </x:c>
      <x:c r="I423" s="27" t="str">
        <x:v>Janfon</x:v>
      </x:c>
      <x:c r="J423" s="21" t="str">
        <x:v>FBX clip</x:v>
      </x:c>
      <x:c r="K423" s="21" t="str">
        <x:v>Gameplay notify timing is marked; hands contact bag/item; no weapon or bag clipping at the event frame.</x:v>
      </x:c>
      <x:c r="L423" s="21" t="str">
        <x:v>SRC-022: vt2-pusfume-1p/docs/PUSFUME_CAREER_SPEC_V2.md; SRC-023: vt2-pusfume-1p/docs/CAREER_KIT.md; SRC-017: scripts/ui/hud_ui/ability_ui.lua and career_ability_bar_ui.lua</x:v>
      </x:c>
      <x:c r="M423" s="21" t="str"/>
    </x:row>
    <x:row r="424" ht="46" customHeight="1">
      <x:c r="A424" s="24" t="str">
        <x:v>ANIM-420</x:v>
      </x:c>
      <x:c r="B424" s="21" t="str">
        <x:v>Presentation</x:v>
      </x:c>
      <x:c r="C424" s="21" t="str">
        <x:v>Career-select idle</x:v>
      </x:c>
      <x:c r="D424" s="21" t="str">
        <x:v>Third person</x:v>
      </x:c>
      <x:c r="E424" s="21" t="str">
        <x:v>Menu</x:v>
      </x:c>
      <x:c r="F424" s="27" t="str">
        <x:v>Required</x:v>
      </x:c>
      <x:c r="G424" s="27" t="str">
        <x:v>P0</x:v>
      </x:c>
      <x:c r="H424" s="27" t="str">
        <x:v>Not Started</x:v>
      </x:c>
      <x:c r="I424" s="27" t="str">
        <x:v>Janfon</x:v>
      </x:c>
      <x:c r="J424" s="21" t="str">
        <x:v>Loop or one-shot FBX clip</x:v>
      </x:c>
      <x:c r="K424" s="21" t="str">
        <x:v>Framing fits VT2 hero-view camera; face, whiskers, fur, and tail remain stable; no gameplay root motion.</x:v>
      </x:c>
      <x:c r="L424" s="21" t="str">
        <x:v>SRC-004: scripts/settings/profiles/career_settings.lua; SRC-011: scripts/ui/views/hero_view/</x:v>
      </x:c>
      <x:c r="M424" s="21" t="str"/>
    </x:row>
    <x:row r="425" ht="46" customHeight="1">
      <x:c r="A425" s="24" t="str">
        <x:v>ANIM-421</x:v>
      </x:c>
      <x:c r="B425" s="21" t="str">
        <x:v>Presentation</x:v>
      </x:c>
      <x:c r="C425" s="21" t="str">
        <x:v>Hero-view idle</x:v>
      </x:c>
      <x:c r="D425" s="21" t="str">
        <x:v>Third person</x:v>
      </x:c>
      <x:c r="E425" s="21" t="str">
        <x:v>Menu</x:v>
      </x:c>
      <x:c r="F425" s="27" t="str">
        <x:v>Required</x:v>
      </x:c>
      <x:c r="G425" s="27" t="str">
        <x:v>P0</x:v>
      </x:c>
      <x:c r="H425" s="27" t="str">
        <x:v>Not Started</x:v>
      </x:c>
      <x:c r="I425" s="27" t="str">
        <x:v>Janfon</x:v>
      </x:c>
      <x:c r="J425" s="21" t="str">
        <x:v>Loop or one-shot FBX clip</x:v>
      </x:c>
      <x:c r="K425" s="21" t="str">
        <x:v>Framing fits VT2 hero-view camera; face, whiskers, fur, and tail remain stable; no gameplay root motion.</x:v>
      </x:c>
      <x:c r="L425" s="21" t="str">
        <x:v>SRC-004: scripts/settings/profiles/career_settings.lua; SRC-011: scripts/ui/views/hero_view/</x:v>
      </x:c>
      <x:c r="M425" s="21" t="str"/>
    </x:row>
    <x:row r="426" ht="46" customHeight="1">
      <x:c r="A426" s="24" t="str">
        <x:v>ANIM-422</x:v>
      </x:c>
      <x:c r="B426" s="21" t="str">
        <x:v>Presentation</x:v>
      </x:c>
      <x:c r="C426" s="21" t="str">
        <x:v>Inventory inspection idle</x:v>
      </x:c>
      <x:c r="D426" s="21" t="str">
        <x:v>Third person</x:v>
      </x:c>
      <x:c r="E426" s="21" t="str">
        <x:v>Menu</x:v>
      </x:c>
      <x:c r="F426" s="27" t="str">
        <x:v>Required</x:v>
      </x:c>
      <x:c r="G426" s="27" t="str">
        <x:v>P0</x:v>
      </x:c>
      <x:c r="H426" s="27" t="str">
        <x:v>Not Started</x:v>
      </x:c>
      <x:c r="I426" s="27" t="str">
        <x:v>Janfon</x:v>
      </x:c>
      <x:c r="J426" s="21" t="str">
        <x:v>Loop or one-shot FBX clip</x:v>
      </x:c>
      <x:c r="K426" s="21" t="str">
        <x:v>Framing fits VT2 hero-view camera; face, whiskers, fur, and tail remain stable; no gameplay root motion.</x:v>
      </x:c>
      <x:c r="L426" s="21" t="str">
        <x:v>SRC-004: scripts/settings/profiles/career_settings.lua; SRC-011: scripts/ui/views/hero_view/</x:v>
      </x:c>
      <x:c r="M426" s="21" t="str"/>
    </x:row>
    <x:row r="427" ht="46" customHeight="1">
      <x:c r="A427" s="24" t="str">
        <x:v>ANIM-423</x:v>
      </x:c>
      <x:c r="B427" s="21" t="str">
        <x:v>Presentation</x:v>
      </x:c>
      <x:c r="C427" s="21" t="str">
        <x:v>Victory pose</x:v>
      </x:c>
      <x:c r="D427" s="21" t="str">
        <x:v>Third person</x:v>
      </x:c>
      <x:c r="E427" s="21" t="str">
        <x:v>Menu</x:v>
      </x:c>
      <x:c r="F427" s="27" t="str">
        <x:v>Required</x:v>
      </x:c>
      <x:c r="G427" s="27" t="str">
        <x:v>P2</x:v>
      </x:c>
      <x:c r="H427" s="27" t="str">
        <x:v>Not Started</x:v>
      </x:c>
      <x:c r="I427" s="27" t="str">
        <x:v>Janfon</x:v>
      </x:c>
      <x:c r="J427" s="21" t="str">
        <x:v>Loop or one-shot FBX clip</x:v>
      </x:c>
      <x:c r="K427" s="21" t="str">
        <x:v>Framing fits VT2 hero-view camera; face, whiskers, fur, and tail remain stable; no gameplay root motion.</x:v>
      </x:c>
      <x:c r="L427" s="21" t="str">
        <x:v>SRC-004: scripts/settings/profiles/career_settings.lua; SRC-011: scripts/ui/views/hero_view/</x:v>
      </x:c>
      <x:c r="M427" s="21" t="str"/>
    </x:row>
    <x:row r="428" ht="46" customHeight="1">
      <x:c r="A428" s="24" t="str">
        <x:v>ANIM-424</x:v>
      </x:c>
      <x:c r="B428" s="21" t="str">
        <x:v>Presentation</x:v>
      </x:c>
      <x:c r="C428" s="21" t="str">
        <x:v>Defeat pose</x:v>
      </x:c>
      <x:c r="D428" s="21" t="str">
        <x:v>Third person</x:v>
      </x:c>
      <x:c r="E428" s="21" t="str">
        <x:v>Menu</x:v>
      </x:c>
      <x:c r="F428" s="27" t="str">
        <x:v>Required</x:v>
      </x:c>
      <x:c r="G428" s="27" t="str">
        <x:v>P2</x:v>
      </x:c>
      <x:c r="H428" s="27" t="str">
        <x:v>Not Started</x:v>
      </x:c>
      <x:c r="I428" s="27" t="str">
        <x:v>Janfon</x:v>
      </x:c>
      <x:c r="J428" s="21" t="str">
        <x:v>Loop or one-shot FBX clip</x:v>
      </x:c>
      <x:c r="K428" s="21" t="str">
        <x:v>Framing fits VT2 hero-view camera; face, whiskers, fur, and tail remain stable; no gameplay root motion.</x:v>
      </x:c>
      <x:c r="L428" s="21" t="str">
        <x:v>SRC-004: scripts/settings/profiles/career_settings.lua; SRC-011: scripts/ui/views/hero_view/</x:v>
      </x:c>
      <x:c r="M428" s="21" t="str"/>
    </x:row>
    <x:row r="429" ht="46" customHeight="1">
      <x:c r="A429" s="25" t="str">
        <x:v>ANIM-425</x:v>
      </x:c>
      <x:c r="B429" s="22" t="str">
        <x:v>Presentation</x:v>
      </x:c>
      <x:c r="C429" s="22" t="str">
        <x:v>Level-up / unlock pose</x:v>
      </x:c>
      <x:c r="D429" s="22" t="str">
        <x:v>Third person</x:v>
      </x:c>
      <x:c r="E429" s="22" t="str">
        <x:v>Menu</x:v>
      </x:c>
      <x:c r="F429" s="28" t="str">
        <x:v>Required</x:v>
      </x:c>
      <x:c r="G429" s="28" t="str">
        <x:v>P2</x:v>
      </x:c>
      <x:c r="H429" s="28" t="str">
        <x:v>Not Started</x:v>
      </x:c>
      <x:c r="I429" s="28" t="str">
        <x:v>Janfon</x:v>
      </x:c>
      <x:c r="J429" s="22" t="str">
        <x:v>Loop or one-shot FBX clip</x:v>
      </x:c>
      <x:c r="K429" s="22" t="str">
        <x:v>Framing fits VT2 hero-view camera; face, whiskers, fur, and tail remain stable; no gameplay root motion.</x:v>
      </x:c>
      <x:c r="L429" s="22" t="str">
        <x:v>SRC-004: scripts/settings/profiles/career_settings.lua; SRC-011: scripts/ui/views/hero_view/</x:v>
      </x:c>
      <x:c r="M429" s="22" t="str"/>
    </x:row>
  </x:sheetData>
  <x:mergeCells>
    <x:mergeCell ref="A1:M1"/>
    <x:mergeCell ref="A2:M2"/>
  </x:mergeCells>
  <x:conditionalFormatting sqref="H5:H429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Prototype Ready"/>
    <x:cfRule type="containsText" dxfId="3" priority="4" operator="containsText" text="Blocked"/>
  </x:conditionalFormatting>
  <x:conditionalFormatting sqref="G5:G429">
    <x:cfRule type="containsText" dxfId="4" priority="5" operator="containsText" text="P0"/>
    <x:cfRule type="containsText" dxfId="5" priority="6" operator="containsText" text="P1"/>
  </x:conditionalFormatting>
  <x:dataValidations count="4">
    <x:dataValidation type="list" sqref="F5:F429">
      <x:formula1>"Required,Optional,Conditional"</x:formula1>
    </x:dataValidation>
    <x:dataValidation type="list" sqref="G5:G429">
      <x:formula1>"P0,P1,P2,P3"</x:formula1>
    </x:dataValidation>
    <x:dataValidation type="list" sqref="H5:H429">
      <x:formula1>"Not Started,In Progress,Ready for Review,Prototype Ready,Blocked,Complete,Not Applicable"</x:formula1>
    </x:dataValidation>
    <x:dataValidation type="list" sqref="I5:I429">
      <x:formula1>"Janfon,Engineering,Audio,VFX,Design,QA,Janfon + Engineering,Unassigned"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8c899062d041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6" hidden="0" customWidth="1"/>
    <x:col min="5" max="5" width="25" hidden="0" customWidth="1"/>
    <x:col min="6" max="6" width="14" hidden="0" customWidth="1"/>
    <x:col min="7" max="7" width="12" hidden="0" customWidth="1"/>
    <x:col min="8" max="8" width="19" hidden="0" customWidth="1"/>
    <x:col min="9" max="9" width="20" hidden="0" customWidth="1"/>
    <x:col min="10" max="10" width="31" hidden="0" customWidth="1"/>
    <x:col min="11" max="11" width="58" hidden="0" customWidth="1"/>
    <x:col min="12" max="12" width="58" hidden="0" customWidth="1"/>
    <x:col min="13" max="13" width="44" hidden="0" customWidth="1"/>
  </x:cols>
  <x:sheetData>
    <x:row r="1" ht="34" customHeight="1">
      <x:c r="A1" s="3" t="str">
        <x:v>Models, Rig &amp; Physics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Character geometry, canonical rigs, attachments, skinning, secondary motion, collision, ragdoll, LOD, and technical model gates.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ID</x:v>
      </x:c>
      <x:c r="B4" s="12" t="str">
        <x:v>Workstream</x:v>
      </x:c>
      <x:c r="C4" s="12" t="str">
        <x:v>Asset / Motion</x:v>
      </x:c>
      <x:c r="D4" s="12" t="str">
        <x:v>Perspective</x:v>
      </x:c>
      <x:c r="E4" s="12" t="str">
        <x:v>Variant / Direction</x:v>
      </x:c>
      <x:c r="F4" s="12" t="str">
        <x:v>Requirement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Deliverable / Format</x:v>
      </x:c>
      <x:c r="K4" s="12" t="str">
        <x:v>Acceptance Criteria</x:v>
      </x:c>
      <x:c r="L4" s="12" t="str">
        <x:v>VT2 Source Reference</x:v>
      </x:c>
      <x:c r="M4" s="12" t="str">
        <x:v>Notes</x:v>
      </x:c>
    </x:row>
    <x:row r="5" ht="46" customHeight="1">
      <x:c r="A5" s="23" t="str">
        <x:v>MODEL-001</x:v>
      </x:c>
      <x:c r="B5" s="20" t="str">
        <x:v>Character mesh</x:v>
      </x:c>
      <x:c r="C5" s="20" t="str">
        <x:v>Pusfume third-person body</x:v>
      </x:c>
      <x:c r="D5" s="20" t="str">
        <x:v>Third person</x:v>
      </x:c>
      <x:c r="E5" s="20" t="str">
        <x:v>Base body + outfit</x:v>
      </x:c>
      <x:c r="F5" s="26" t="str">
        <x:v>Required</x:v>
      </x:c>
      <x:c r="G5" s="26" t="str">
        <x:v>P0</x:v>
      </x:c>
      <x:c r="H5" s="26" t="str">
        <x:v>Prototype Ready</x:v>
      </x:c>
      <x:c r="I5" s="26" t="str">
        <x:v>Janfon</x:v>
      </x:c>
      <x:c r="J5" s="20" t="str">
        <x:v>pusfume_3p.fbx + .blend</x:v>
      </x:c>
      <x:c r="K5" s="20" t="str">
        <x:v>Single authoritative skinned mesh set; no unweighted vertices; silhouette reads at gameplay distance.</x:v>
      </x:c>
      <x:c r="L5" s="20" t="str">
        <x:v>SRC-021: vt2-pusfume-1p/docs/MODEL_HANDOFF.md; SRC-008: scripts/settings/equipment/cosmetics.lua</x:v>
      </x:c>
      <x:c r="M5" s="20" t="str">
        <x:v>Prototype currently exists; final armature overhaul remains.</x:v>
      </x:c>
    </x:row>
    <x:row r="6" ht="46" customHeight="1">
      <x:c r="A6" s="24" t="str">
        <x:v>MODEL-002</x:v>
      </x:c>
      <x:c r="B6" s="21" t="str">
        <x:v>Character mesh</x:v>
      </x:c>
      <x:c r="C6" s="21" t="str">
        <x:v>Pusfume first-person arms and hands</x:v>
      </x:c>
      <x:c r="D6" s="21" t="str">
        <x:v>First person</x:v>
      </x:c>
      <x:c r="E6" s="21" t="str">
        <x:v>Left and right</x:v>
      </x:c>
      <x:c r="F6" s="27" t="str">
        <x:v>Required</x:v>
      </x:c>
      <x:c r="G6" s="27" t="str">
        <x:v>P0</x:v>
      </x:c>
      <x:c r="H6" s="27" t="str">
        <x:v>In Progress</x:v>
      </x:c>
      <x:c r="I6" s="27" t="str">
        <x:v>Janfon</x:v>
      </x:c>
      <x:c r="J6" s="21" t="str">
        <x:v>pusfume_1p_arms.fbx + .blend</x:v>
      </x:c>
      <x:c r="K6" s="21" t="str">
        <x:v>Correct donor rest pose, scale and camera framing; no stretched fingers/forearms; weapon grips align.</x:v>
      </x:c>
      <x:c r="L6" s="21" t="str">
        <x:v>SRC-021: vt2-pusfume-1p/docs/MODEL_HANDOFF.md; SRC-008: scripts/settings/equipment/cosmetics.lua</x:v>
      </x:c>
      <x:c r="M6" s="21" t="str">
        <x:v>Prototype exists but live deformation still needs correction.</x:v>
      </x:c>
    </x:row>
    <x:row r="7" ht="46" customHeight="1">
      <x:c r="A7" s="24" t="str">
        <x:v>MODEL-003</x:v>
      </x:c>
      <x:c r="B7" s="21" t="str">
        <x:v>Character mesh</x:v>
      </x:c>
      <x:c r="C7" s="21" t="str">
        <x:v>Head and face</x:v>
      </x:c>
      <x:c r="D7" s="21" t="str">
        <x:v>Third person</x:v>
      </x:c>
      <x:c r="E7" s="21" t="str">
        <x:v>Expression-ready</x:v>
      </x:c>
      <x:c r="F7" s="27" t="str">
        <x:v>Required</x:v>
      </x:c>
      <x:c r="G7" s="27" t="str">
        <x:v>P0</x:v>
      </x:c>
      <x:c r="H7" s="27" t="str">
        <x:v>Not Started</x:v>
      </x:c>
      <x:c r="I7" s="27" t="str">
        <x:v>Janfon</x:v>
      </x:c>
      <x:c r="J7" s="21" t="str">
        <x:v>Skinned mesh</x:v>
      </x:c>
      <x:c r="K7" s="21" t="str">
        <x:v>Jaw, eyelids, ears, whisker roots, and snout deform without gaps.</x:v>
      </x:c>
      <x:c r="L7" s="21" t="str">
        <x:v>SRC-021: vt2-pusfume-1p/docs/MODEL_HANDOFF.md; SRC-008: scripts/settings/equipment/cosmetics.lua</x:v>
      </x:c>
      <x:c r="M7" s="21" t="str">
        <x:v>Keep topology suitable for future facial animation.</x:v>
      </x:c>
    </x:row>
    <x:row r="8" ht="46" customHeight="1">
      <x:c r="A8" s="24" t="str">
        <x:v>MODEL-004</x:v>
      </x:c>
      <x:c r="B8" s="21" t="str">
        <x:v>Character mesh</x:v>
      </x:c>
      <x:c r="C8" s="21" t="str">
        <x:v>Eyes</x:v>
      </x:c>
      <x:c r="D8" s="21" t="str">
        <x:v>Both</x:v>
      </x:c>
      <x:c r="E8" s="21" t="str">
        <x:v>Left/right emissive</x:v>
      </x:c>
      <x:c r="F8" s="27" t="str">
        <x:v>Required</x:v>
      </x:c>
      <x:c r="G8" s="27" t="str">
        <x:v>P1</x:v>
      </x:c>
      <x:c r="H8" s="27" t="str">
        <x:v>Not Started</x:v>
      </x:c>
      <x:c r="I8" s="27" t="str">
        <x:v>Janfon</x:v>
      </x:c>
      <x:c r="J8" s="21" t="str">
        <x:v>Separate mesh/material slots</x:v>
      </x:c>
      <x:c r="K8" s="21" t="str">
        <x:v>No z-fighting; emissive remains controlled; eye direction is consistent.</x:v>
      </x:c>
      <x:c r="L8" s="21" t="str">
        <x:v>SRC-021: vt2-pusfume-1p/docs/MODEL_HANDOFF.md; SRC-008: scripts/settings/equipment/cosmetics.lua</x:v>
      </x:c>
      <x:c r="M8" s="21" t="str"/>
    </x:row>
    <x:row r="9" ht="46" customHeight="1">
      <x:c r="A9" s="24" t="str">
        <x:v>MODEL-005</x:v>
      </x:c>
      <x:c r="B9" s="21" t="str">
        <x:v>Character mesh</x:v>
      </x:c>
      <x:c r="C9" s="21" t="str">
        <x:v>Teeth and tongue</x:v>
      </x:c>
      <x:c r="D9" s="21" t="str">
        <x:v>Third person</x:v>
      </x:c>
      <x:c r="E9" s="21" t="str">
        <x:v>Upper/lower mouth</x:v>
      </x:c>
      <x:c r="F9" s="27" t="str">
        <x:v>Required</x:v>
      </x:c>
      <x:c r="G9" s="27" t="str">
        <x:v>P2</x:v>
      </x:c>
      <x:c r="H9" s="27" t="str">
        <x:v>Not Started</x:v>
      </x:c>
      <x:c r="I9" s="27" t="str">
        <x:v>Janfon</x:v>
      </x:c>
      <x:c r="J9" s="21" t="str">
        <x:v>Separate or joined skinned meshes</x:v>
      </x:c>
      <x:c r="K9" s="21" t="str">
        <x:v>No mouth gaps during jaw motion; normals face outward.</x:v>
      </x:c>
      <x:c r="L9" s="21" t="str">
        <x:v>SRC-021: vt2-pusfume-1p/docs/MODEL_HANDOFF.md; SRC-008: scripts/settings/equipment/cosmetics.lua</x:v>
      </x:c>
      <x:c r="M9" s="21" t="str"/>
    </x:row>
    <x:row r="10" ht="46" customHeight="1">
      <x:c r="A10" s="24" t="str">
        <x:v>MODEL-006</x:v>
      </x:c>
      <x:c r="B10" s="21" t="str">
        <x:v>Character mesh</x:v>
      </x:c>
      <x:c r="C10" s="21" t="str">
        <x:v>Claws and nails</x:v>
      </x:c>
      <x:c r="D10" s="21" t="str">
        <x:v>Both</x:v>
      </x:c>
      <x:c r="E10" s="21" t="str">
        <x:v>Hands/feet</x:v>
      </x:c>
      <x:c r="F10" s="27" t="str">
        <x:v>Required</x:v>
      </x:c>
      <x:c r="G10" s="27" t="str">
        <x:v>P1</x:v>
      </x:c>
      <x:c r="H10" s="27" t="str">
        <x:v>Not Started</x:v>
      </x:c>
      <x:c r="I10" s="27" t="str">
        <x:v>Janfon</x:v>
      </x:c>
      <x:c r="J10" s="21" t="str">
        <x:v>Skinned geometry</x:v>
      </x:c>
      <x:c r="K10" s="21" t="str">
        <x:v>First-person silhouette is clean and weapon grips remain unobstructed.</x:v>
      </x:c>
      <x:c r="L10" s="21" t="str">
        <x:v>SRC-021: vt2-pusfume-1p/docs/MODEL_HANDOFF.md; SRC-008: scripts/settings/equipment/cosmetics.lua</x:v>
      </x:c>
      <x:c r="M10" s="21" t="str"/>
    </x:row>
    <x:row r="11" ht="46" customHeight="1">
      <x:c r="A11" s="24" t="str">
        <x:v>MODEL-007</x:v>
      </x:c>
      <x:c r="B11" s="21" t="str">
        <x:v>Character mesh</x:v>
      </x:c>
      <x:c r="C11" s="21" t="str">
        <x:v>Tail</x:v>
      </x:c>
      <x:c r="D11" s="21" t="str">
        <x:v>Third person</x:v>
      </x:c>
      <x:c r="E11" s="21" t="str">
        <x:v>Primary tail chain</x:v>
      </x:c>
      <x:c r="F11" s="27" t="str">
        <x:v>Required</x:v>
      </x:c>
      <x:c r="G11" s="27" t="str">
        <x:v>P0</x:v>
      </x:c>
      <x:c r="H11" s="27" t="str">
        <x:v>Not Started</x:v>
      </x:c>
      <x:c r="I11" s="27" t="str">
        <x:v>Janfon</x:v>
      </x:c>
      <x:c r="J11" s="21" t="str">
        <x:v>Skinned mesh + tail bones</x:v>
      </x:c>
      <x:c r="K11" s="21" t="str">
        <x:v>No hard kinks; follows locomotion and reacts without penetrating torso.</x:v>
      </x:c>
      <x:c r="L11" s="21" t="str">
        <x:v>SRC-021: vt2-pusfume-1p/docs/MODEL_HANDOFF.md; SRC-008: scripts/settings/equipment/cosmetics.lua</x:v>
      </x:c>
      <x:c r="M11" s="21" t="str"/>
    </x:row>
    <x:row r="12" ht="46" customHeight="1">
      <x:c r="A12" s="24" t="str">
        <x:v>MODEL-008</x:v>
      </x:c>
      <x:c r="B12" s="21" t="str">
        <x:v>Character mesh</x:v>
      </x:c>
      <x:c r="C12" s="21" t="str">
        <x:v>Whisker cards</x:v>
      </x:c>
      <x:c r="D12" s="21" t="str">
        <x:v>Third person</x:v>
      </x:c>
      <x:c r="E12" s="21" t="str">
        <x:v>Left/right</x:v>
      </x:c>
      <x:c r="F12" s="27" t="str">
        <x:v>Required</x:v>
      </x:c>
      <x:c r="G12" s="27" t="str">
        <x:v>P1</x:v>
      </x:c>
      <x:c r="H12" s="27" t="str">
        <x:v>Not Started</x:v>
      </x:c>
      <x:c r="I12" s="27" t="str">
        <x:v>Janfon</x:v>
      </x:c>
      <x:c r="J12" s="21" t="str">
        <x:v>Alpha-card mesh</x:v>
      </x:c>
      <x:c r="K12" s="21" t="str">
        <x:v>Cards are rooted to face, animate with head, and do not look like reflective tape.</x:v>
      </x:c>
      <x:c r="L12" s="21" t="str">
        <x:v>SRC-021: vt2-pusfume-1p/docs/MODEL_HANDOFF.md; SRC-008: scripts/settings/equipment/cosmetics.lua</x:v>
      </x:c>
      <x:c r="M12" s="21" t="str">
        <x:v>Requires cutout material and suitable card normals.</x:v>
      </x:c>
    </x:row>
    <x:row r="13" ht="46" customHeight="1">
      <x:c r="A13" s="24" t="str">
        <x:v>MODEL-009</x:v>
      </x:c>
      <x:c r="B13" s="21" t="str">
        <x:v>Character mesh</x:v>
      </x:c>
      <x:c r="C13" s="21" t="str">
        <x:v>Fur cards/shell</x:v>
      </x:c>
      <x:c r="D13" s="21" t="str">
        <x:v>Third person</x:v>
      </x:c>
      <x:c r="E13" s="21" t="str">
        <x:v>Head/neck/body</x:v>
      </x:c>
      <x:c r="F13" s="27" t="str">
        <x:v>Required</x:v>
      </x:c>
      <x:c r="G13" s="27" t="str">
        <x:v>P1</x:v>
      </x:c>
      <x:c r="H13" s="27" t="str">
        <x:v>Not Started</x:v>
      </x:c>
      <x:c r="I13" s="27" t="str">
        <x:v>Janfon</x:v>
      </x:c>
      <x:c r="J13" s="21" t="str">
        <x:v>Alpha-card mesh or approved fur geometry</x:v>
      </x:c>
      <x:c r="K13" s="21" t="str">
        <x:v>Fur follows body and physics bones; no floating cards, overbright alpha, or costume clipping.</x:v>
      </x:c>
      <x:c r="L13" s="21" t="str">
        <x:v>SRC-021: vt2-pusfume-1p/docs/MODEL_HANDOFF.md; SRC-008: scripts/settings/equipment/cosmetics.lua</x:v>
      </x:c>
      <x:c r="M13" s="21" t="str"/>
    </x:row>
    <x:row r="14" ht="46" customHeight="1">
      <x:c r="A14" s="24" t="str">
        <x:v>MODEL-010</x:v>
      </x:c>
      <x:c r="B14" s="21" t="str">
        <x:v>Career prop</x:v>
      </x:c>
      <x:c r="C14" s="21" t="str">
        <x:v>Skaven Ingenuity bag</x:v>
      </x:c>
      <x:c r="D14" s="21" t="str">
        <x:v>Both</x:v>
      </x:c>
      <x:c r="E14" s="21" t="str">
        <x:v>Held, deployed, world</x:v>
      </x:c>
      <x:c r="F14" s="27" t="str">
        <x:v>Required</x:v>
      </x:c>
      <x:c r="G14" s="27" t="str">
        <x:v>P0</x:v>
      </x:c>
      <x:c r="H14" s="27" t="str">
        <x:v>Not Started</x:v>
      </x:c>
      <x:c r="I14" s="27" t="str">
        <x:v>Janfon</x:v>
      </x:c>
      <x:c r="J14" s="21" t="str">
        <x:v>3p/1p/world FBX units</x:v>
      </x:c>
      <x:c r="K14" s="21" t="str">
        <x:v>One design supports hand carry, ground station, and interaction camera distances.</x:v>
      </x:c>
      <x:c r="L14" s="21" t="str">
        <x:v>SRC-021: vt2-pusfume-1p/docs/MODEL_HANDOFF.md; SRC-008: scripts/settings/equipment/cosmetics.lua</x:v>
      </x:c>
      <x:c r="M14" s="21" t="str"/>
    </x:row>
    <x:row r="15" ht="46" customHeight="1">
      <x:c r="A15" s="24" t="str">
        <x:v>MODEL-011</x:v>
      </x:c>
      <x:c r="B15" s="21" t="str">
        <x:v>Career prop</x:v>
      </x:c>
      <x:c r="C15" s="21" t="str">
        <x:v>Gas bomb</x:v>
      </x:c>
      <x:c r="D15" s="21" t="str">
        <x:v>Both</x:v>
      </x:c>
      <x:c r="E15" s="21" t="str">
        <x:v>Inventory and world</x:v>
      </x:c>
      <x:c r="F15" s="27" t="str">
        <x:v>Required</x:v>
      </x:c>
      <x:c r="G15" s="27" t="str">
        <x:v>P1</x:v>
      </x:c>
      <x:c r="H15" s="27" t="str">
        <x:v>Not Started</x:v>
      </x:c>
      <x:c r="I15" s="27" t="str">
        <x:v>Janfon</x:v>
      </x:c>
      <x:c r="J15" s="21" t="str">
        <x:v>3p/1p/world FBX units</x:v>
      </x:c>
      <x:c r="K15" s="21" t="str">
        <x:v>Readable as upgraded bomb; pivot and throw origin match VT2 throwable conventions.</x:v>
      </x:c>
      <x:c r="L15" s="21" t="str">
        <x:v>SRC-021: vt2-pusfume-1p/docs/MODEL_HANDOFF.md; SRC-008: scripts/settings/equipment/cosmetics.lua</x:v>
      </x:c>
      <x:c r="M15" s="21" t="str"/>
    </x:row>
    <x:row r="16" ht="46" customHeight="1">
      <x:c r="A16" s="24" t="str">
        <x:v>MODEL-012</x:v>
      </x:c>
      <x:c r="B16" s="21" t="str">
        <x:v>Career prop</x:v>
      </x:c>
      <x:c r="C16" s="21" t="str">
        <x:v>Gas trap</x:v>
      </x:c>
      <x:c r="D16" s="21" t="str">
        <x:v>Both</x:v>
      </x:c>
      <x:c r="E16" s="21" t="str">
        <x:v>Inventory, placement ghost, armed</x:v>
      </x:c>
      <x:c r="F16" s="27" t="str">
        <x:v>Required</x:v>
      </x:c>
      <x:c r="G16" s="27" t="str">
        <x:v>P1</x:v>
      </x:c>
      <x:c r="H16" s="27" t="str">
        <x:v>Not Started</x:v>
      </x:c>
      <x:c r="I16" s="27" t="str">
        <x:v>Janfon</x:v>
      </x:c>
      <x:c r="J16" s="21" t="str">
        <x:v>3p/1p/world FBX units</x:v>
      </x:c>
      <x:c r="K16" s="21" t="str">
        <x:v>Ground contact and activation center are unambiguous; no terrain hover.</x:v>
      </x:c>
      <x:c r="L16" s="21" t="str">
        <x:v>SRC-021: vt2-pusfume-1p/docs/MODEL_HANDOFF.md; SRC-008: scripts/settings/equipment/cosmetics.lua</x:v>
      </x:c>
      <x:c r="M16" s="21" t="str"/>
    </x:row>
    <x:row r="17" ht="46" customHeight="1">
      <x:c r="A17" s="24" t="str">
        <x:v>MODEL-013</x:v>
      </x:c>
      <x:c r="B17" s="21" t="str">
        <x:v>Career prop</x:v>
      </x:c>
      <x:c r="C17" s="21" t="str">
        <x:v>Potion enchant attachment</x:v>
      </x:c>
      <x:c r="D17" s="21" t="str">
        <x:v>First person</x:v>
      </x:c>
      <x:c r="E17" s="21" t="str">
        <x:v>Potion interaction</x:v>
      </x:c>
      <x:c r="F17" s="27" t="str">
        <x:v>Required</x:v>
      </x:c>
      <x:c r="G17" s="27" t="str">
        <x:v>P2</x:v>
      </x:c>
      <x:c r="H17" s="27" t="str">
        <x:v>Not Started</x:v>
      </x:c>
      <x:c r="I17" s="27" t="str">
        <x:v>Janfon</x:v>
      </x:c>
      <x:c r="J17" s="21" t="str">
        <x:v>Optional hand-held tool/FX anchor</x:v>
      </x:c>
      <x:c r="K17" s="21" t="str">
        <x:v>Fits hand pose and leaves a named VFX node.</x:v>
      </x:c>
      <x:c r="L17" s="21" t="str">
        <x:v>SRC-021: vt2-pusfume-1p/docs/MODEL_HANDOFF.md; SRC-008: scripts/settings/equipment/cosmetics.lua</x:v>
      </x:c>
      <x:c r="M17" s="21" t="str"/>
    </x:row>
    <x:row r="18" ht="46" customHeight="1">
      <x:c r="A18" s="24" t="str">
        <x:v>MODEL-014</x:v>
      </x:c>
      <x:c r="B18" s="21" t="str">
        <x:v>Cosmetics</x:v>
      </x:c>
      <x:c r="C18" s="21" t="str">
        <x:v>Base hat/headgear</x:v>
      </x:c>
      <x:c r="D18" s="21" t="str">
        <x:v>Third person</x:v>
      </x:c>
      <x:c r="E18" s="21" t="str">
        <x:v>Default</x:v>
      </x:c>
      <x:c r="F18" s="27" t="str">
        <x:v>Required</x:v>
      </x:c>
      <x:c r="G18" s="27" t="str">
        <x:v>P1</x:v>
      </x:c>
      <x:c r="H18" s="27" t="str">
        <x:v>Not Started</x:v>
      </x:c>
      <x:c r="I18" s="27" t="str">
        <x:v>Janfon</x:v>
      </x:c>
      <x:c r="J18" s="21" t="str">
        <x:v>Separate FBX attachment</x:v>
      </x:c>
      <x:c r="K18" s="21" t="str">
        <x:v>Uses stable head attachment; does not clip ears, whiskers, or fur at idle and run extremes.</x:v>
      </x:c>
      <x:c r="L18" s="21" t="str">
        <x:v>SRC-021: vt2-pusfume-1p/docs/MODEL_HANDOFF.md; SRC-008: scripts/settings/equipment/cosmetics.lua</x:v>
      </x:c>
      <x:c r="M18" s="21" t="str"/>
    </x:row>
    <x:row r="19" ht="46" customHeight="1">
      <x:c r="A19" s="24" t="str">
        <x:v>MODEL-015</x:v>
      </x:c>
      <x:c r="B19" s="21" t="str">
        <x:v>Cosmetics</x:v>
      </x:c>
      <x:c r="C19" s="21" t="str">
        <x:v>Head/ear/fur hide masks</x:v>
      </x:c>
      <x:c r="D19" s="21" t="str">
        <x:v>Third person</x:v>
      </x:c>
      <x:c r="E19" s="21" t="str">
        <x:v>Per cosmetic</x:v>
      </x:c>
      <x:c r="F19" s="27" t="str">
        <x:v>Required</x:v>
      </x:c>
      <x:c r="G19" s="27" t="str">
        <x:v>P1</x:v>
      </x:c>
      <x:c r="H19" s="27" t="str">
        <x:v>Not Started</x:v>
      </x:c>
      <x:c r="I19" s="27" t="str">
        <x:v>Janfon</x:v>
      </x:c>
      <x:c r="J19" s="21" t="str">
        <x:v>Named mesh sections or mask metadata</x:v>
      </x:c>
      <x:c r="K19" s="21" t="str">
        <x:v>Each cosmetic can hide only intersecting geometry without deleting face or whisker roots.</x:v>
      </x:c>
      <x:c r="L19" s="21" t="str">
        <x:v>SRC-021: vt2-pusfume-1p/docs/MODEL_HANDOFF.md; SRC-008: scripts/settings/equipment/cosmetics.lua</x:v>
      </x:c>
      <x:c r="M19" s="21" t="str"/>
    </x:row>
    <x:row r="20" ht="46" customHeight="1">
      <x:c r="A20" s="24" t="str">
        <x:v>MODEL-016</x:v>
      </x:c>
      <x:c r="B20" s="21" t="str">
        <x:v>Network model</x:v>
      </x:c>
      <x:c r="C20" s="21" t="str">
        <x:v>Third-person husk compatibility</x:v>
      </x:c>
      <x:c r="D20" s="21" t="str">
        <x:v>Third person</x:v>
      </x:c>
      <x:c r="E20" s="21" t="str">
        <x:v>Remote player</x:v>
      </x:c>
      <x:c r="F20" s="27" t="str">
        <x:v>Required</x:v>
      </x:c>
      <x:c r="G20" s="27" t="str">
        <x:v>P0</x:v>
      </x:c>
      <x:c r="H20" s="27" t="str">
        <x:v>Not Started</x:v>
      </x:c>
      <x:c r="I20" s="27" t="str">
        <x:v>Engineering</x:v>
      </x:c>
      <x:c r="J20" s="21" t="str">
        <x:v>Same skeleton/attachment contract</x:v>
      </x:c>
      <x:c r="K20" s="21" t="str">
        <x:v>Remote clients see the same body, materials, animation, equipment, and career prop states.</x:v>
      </x:c>
      <x:c r="L20" s="21" t="str">
        <x:v>SRC-021: vt2-pusfume-1p/docs/MODEL_HANDOFF.md; SRC-008: scripts/settings/equipment/cosmetics.lua</x:v>
      </x:c>
      <x:c r="M20" s="21" t="str"/>
    </x:row>
    <x:row r="21" ht="46" customHeight="1">
      <x:c r="A21" s="24" t="str">
        <x:v>MODEL-017</x:v>
      </x:c>
      <x:c r="B21" s="21" t="str">
        <x:v>Network model</x:v>
      </x:c>
      <x:c r="C21" s="21" t="str">
        <x:v>Bot model compatibility</x:v>
      </x:c>
      <x:c r="D21" s="21" t="str">
        <x:v>Third person</x:v>
      </x:c>
      <x:c r="E21" s="21" t="str">
        <x:v>Bot</x:v>
      </x:c>
      <x:c r="F21" s="27" t="str">
        <x:v>Required</x:v>
      </x:c>
      <x:c r="G21" s="27" t="str">
        <x:v>P1</x:v>
      </x:c>
      <x:c r="H21" s="27" t="str">
        <x:v>Not Started</x:v>
      </x:c>
      <x:c r="I21" s="27" t="str">
        <x:v>Engineering</x:v>
      </x:c>
      <x:c r="J21" s="21" t="str">
        <x:v>Bot-compatible unit configuration</x:v>
      </x:c>
      <x:c r="K21" s="21" t="str">
        <x:v>Bot spawns, equips items, navigates, revives, and ragdolls without missing unit resources.</x:v>
      </x:c>
      <x:c r="L21" s="21" t="str">
        <x:v>SRC-021: vt2-pusfume-1p/docs/MODEL_HANDOFF.md; SRC-008: scripts/settings/equipment/cosmetics.lua</x:v>
      </x:c>
      <x:c r="M21" s="21" t="str"/>
    </x:row>
    <x:row r="22" ht="46" customHeight="1">
      <x:c r="A22" s="24" t="str">
        <x:v>MODEL-018</x:v>
      </x:c>
      <x:c r="B22" s="21" t="str">
        <x:v>Rig and skinning</x:v>
      </x:c>
      <x:c r="C22" s="21" t="str">
        <x:v>Canonical full-body armature</x:v>
      </x:c>
      <x:c r="D22" s="21" t="str">
        <x:v>Both</x:v>
      </x:c>
      <x:c r="E22" s="21" t="str">
        <x:v>Untouched Skaven-compatible hierarchy</x:v>
      </x:c>
      <x:c r="F22" s="27" t="str">
        <x:v>Required</x:v>
      </x:c>
      <x:c r="G22" s="27" t="str">
        <x:v>P1</x:v>
      </x:c>
      <x:c r="H22" s="27" t="str">
        <x:v>Not Started</x:v>
      </x:c>
      <x:c r="I22" s="27" t="str">
        <x:v>Janfon</x:v>
      </x:c>
      <x:c r="J22" s="21" t="str">
        <x:v>.blend source + export-ready deform rig</x:v>
      </x:c>
      <x:c r="K22" s="21" t="str">
        <x:v>82+ deform/physics bones; exact names, hierarchy, rest matrices, and transforms documented.</x:v>
      </x:c>
      <x:c r="L22" s="21" t="str">
        <x:v>SRC-020: vt2-pusfume-1p/docs/ASSET_PIPELINE.md; SRC-026: vt2-pusfume-1p/tools/prepare_pusfume_1p_blend.py; SRC-025: vt2-pusfume-1p/tools/prepare_animated_pusfume_fbx.py</x:v>
      </x:c>
      <x:c r="M22" s="21" t="str"/>
    </x:row>
    <x:row r="23" ht="46" customHeight="1">
      <x:c r="A23" s="24" t="str">
        <x:v>MODEL-019</x:v>
      </x:c>
      <x:c r="B23" s="21" t="str">
        <x:v>Rig and skinning</x:v>
      </x:c>
      <x:c r="C23" s="21" t="str">
        <x:v>Canonical first-person armature</x:v>
      </x:c>
      <x:c r="D23" s="21" t="str">
        <x:v>Both</x:v>
      </x:c>
      <x:c r="E23" s="21" t="str">
        <x:v>VT2 first-person donor-compatible</x:v>
      </x:c>
      <x:c r="F23" s="27" t="str">
        <x:v>Required</x:v>
      </x:c>
      <x:c r="G23" s="27" t="str">
        <x:v>P0</x:v>
      </x:c>
      <x:c r="H23" s="27" t="str">
        <x:v>Not Started</x:v>
      </x:c>
      <x:c r="I23" s="27" t="str">
        <x:v>Janfon</x:v>
      </x:c>
      <x:c r="J23" s="21" t="str">
        <x:v>.blend source + export-ready deform rig</x:v>
      </x:c>
      <x:c r="K23" s="21" t="str">
        <x:v>Shared donor nodes reproduce compiled rest matrices within 0.0001; no object-scale compensation that deforms skin.</x:v>
      </x:c>
      <x:c r="L23" s="21" t="str">
        <x:v>SRC-020: vt2-pusfume-1p/docs/ASSET_PIPELINE.md; SRC-026: vt2-pusfume-1p/tools/prepare_pusfume_1p_blend.py; SRC-025: vt2-pusfume-1p/tools/prepare_animated_pusfume_fbx.py</x:v>
      </x:c>
      <x:c r="M23" s="21" t="str"/>
    </x:row>
    <x:row r="24" ht="46" customHeight="1">
      <x:c r="A24" s="24" t="str">
        <x:v>MODEL-020</x:v>
      </x:c>
      <x:c r="B24" s="21" t="str">
        <x:v>Rig and skinning</x:v>
      </x:c>
      <x:c r="C24" s="21" t="str">
        <x:v>Root / trajectory bone</x:v>
      </x:c>
      <x:c r="D24" s="21" t="str">
        <x:v>Both</x:v>
      </x:c>
      <x:c r="E24" s="21" t="str">
        <x:v>Origin and facing</x:v>
      </x:c>
      <x:c r="F24" s="27" t="str">
        <x:v>Required</x:v>
      </x:c>
      <x:c r="G24" s="27" t="str">
        <x:v>P1</x:v>
      </x:c>
      <x:c r="H24" s="27" t="str">
        <x:v>Not Started</x:v>
      </x:c>
      <x:c r="I24" s="27" t="str">
        <x:v>Janfon</x:v>
      </x:c>
      <x:c r="J24" s="21" t="str">
        <x:v>.blend source + export-ready deform rig</x:v>
      </x:c>
      <x:c r="K24" s="21" t="str">
        <x:v>Root stays at world origin, unit scale, and engine-forward orientation; locomotion clips do not bake unintended translation.</x:v>
      </x:c>
      <x:c r="L24" s="21" t="str">
        <x:v>SRC-020: vt2-pusfume-1p/docs/ASSET_PIPELINE.md; SRC-026: vt2-pusfume-1p/tools/prepare_pusfume_1p_blend.py; SRC-025: vt2-pusfume-1p/tools/prepare_animated_pusfume_fbx.py</x:v>
      </x:c>
      <x:c r="M24" s="21" t="str"/>
    </x:row>
    <x:row r="25" ht="46" customHeight="1">
      <x:c r="A25" s="24" t="str">
        <x:v>MODEL-021</x:v>
      </x:c>
      <x:c r="B25" s="21" t="str">
        <x:v>Rig and skinning</x:v>
      </x:c>
      <x:c r="C25" s="21" t="str">
        <x:v>Pelvis/spine/neck/head chains</x:v>
      </x:c>
      <x:c r="D25" s="21" t="str">
        <x:v>Both</x:v>
      </x:c>
      <x:c r="E25" s="21" t="str">
        <x:v>Deformation</x:v>
      </x:c>
      <x:c r="F25" s="27" t="str">
        <x:v>Required</x:v>
      </x:c>
      <x:c r="G25" s="27" t="str">
        <x:v>P1</x:v>
      </x:c>
      <x:c r="H25" s="27" t="str">
        <x:v>Not Started</x:v>
      </x:c>
      <x:c r="I25" s="27" t="str">
        <x:v>Janfon</x:v>
      </x:c>
      <x:c r="J25" s="21" t="str">
        <x:v>.blend source + export-ready deform rig</x:v>
      </x:c>
      <x:c r="K25" s="21" t="str">
        <x:v>Natural arc with no volume collapse during crouch, aim, and stagger extremes.</x:v>
      </x:c>
      <x:c r="L25" s="21" t="str">
        <x:v>SRC-020: vt2-pusfume-1p/docs/ASSET_PIPELINE.md; SRC-026: vt2-pusfume-1p/tools/prepare_pusfume_1p_blend.py; SRC-025: vt2-pusfume-1p/tools/prepare_animated_pusfume_fbx.py</x:v>
      </x:c>
      <x:c r="M25" s="21" t="str"/>
    </x:row>
    <x:row r="26" ht="46" customHeight="1">
      <x:c r="A26" s="24" t="str">
        <x:v>MODEL-022</x:v>
      </x:c>
      <x:c r="B26" s="21" t="str">
        <x:v>Rig and skinning</x:v>
      </x:c>
      <x:c r="C26" s="21" t="str">
        <x:v>Left/right arm chains</x:v>
      </x:c>
      <x:c r="D26" s="21" t="str">
        <x:v>Both</x:v>
      </x:c>
      <x:c r="E26" s="21" t="str">
        <x:v>Mirrored controls</x:v>
      </x:c>
      <x:c r="F26" s="27" t="str">
        <x:v>Required</x:v>
      </x:c>
      <x:c r="G26" s="27" t="str">
        <x:v>P1</x:v>
      </x:c>
      <x:c r="H26" s="27" t="str">
        <x:v>Not Started</x:v>
      </x:c>
      <x:c r="I26" s="27" t="str">
        <x:v>Janfon</x:v>
      </x:c>
      <x:c r="J26" s="21" t="str">
        <x:v>.blend source + export-ready deform rig</x:v>
      </x:c>
      <x:c r="K26" s="21" t="str">
        <x:v>Deform bones retain VT2-compatible names/rest; author controls may be custom but are excluded from game export.</x:v>
      </x:c>
      <x:c r="L26" s="21" t="str">
        <x:v>SRC-020: vt2-pusfume-1p/docs/ASSET_PIPELINE.md; SRC-026: vt2-pusfume-1p/tools/prepare_pusfume_1p_blend.py; SRC-025: vt2-pusfume-1p/tools/prepare_animated_pusfume_fbx.py</x:v>
      </x:c>
      <x:c r="M26" s="21" t="str"/>
    </x:row>
    <x:row r="27" ht="46" customHeight="1">
      <x:c r="A27" s="24" t="str">
        <x:v>MODEL-023</x:v>
      </x:c>
      <x:c r="B27" s="21" t="str">
        <x:v>Rig and skinning</x:v>
      </x:c>
      <x:c r="C27" s="21" t="str">
        <x:v>Left/right hand and finger chains</x:v>
      </x:c>
      <x:c r="D27" s="21" t="str">
        <x:v>Both</x:v>
      </x:c>
      <x:c r="E27" s="21" t="str">
        <x:v>Weapon grip</x:v>
      </x:c>
      <x:c r="F27" s="27" t="str">
        <x:v>Required</x:v>
      </x:c>
      <x:c r="G27" s="27" t="str">
        <x:v>P1</x:v>
      </x:c>
      <x:c r="H27" s="27" t="str">
        <x:v>Not Started</x:v>
      </x:c>
      <x:c r="I27" s="27" t="str">
        <x:v>Janfon</x:v>
      </x:c>
      <x:c r="J27" s="21" t="str">
        <x:v>.blend source + export-ready deform rig</x:v>
      </x:c>
      <x:c r="K27" s="21" t="str">
        <x:v>All required finger bones are weighted and tested against one- and two-handed grips.</x:v>
      </x:c>
      <x:c r="L27" s="21" t="str">
        <x:v>SRC-020: vt2-pusfume-1p/docs/ASSET_PIPELINE.md; SRC-026: vt2-pusfume-1p/tools/prepare_pusfume_1p_blend.py; SRC-025: vt2-pusfume-1p/tools/prepare_animated_pusfume_fbx.py</x:v>
      </x:c>
      <x:c r="M27" s="21" t="str"/>
    </x:row>
    <x:row r="28" ht="46" customHeight="1">
      <x:c r="A28" s="24" t="str">
        <x:v>MODEL-024</x:v>
      </x:c>
      <x:c r="B28" s="21" t="str">
        <x:v>Rig and skinning</x:v>
      </x:c>
      <x:c r="C28" s="21" t="str">
        <x:v>Leg/foot/toe chains</x:v>
      </x:c>
      <x:c r="D28" s="21" t="str">
        <x:v>Both</x:v>
      </x:c>
      <x:c r="E28" s="21" t="str">
        <x:v>Foot planting</x:v>
      </x:c>
      <x:c r="F28" s="27" t="str">
        <x:v>Required</x:v>
      </x:c>
      <x:c r="G28" s="27" t="str">
        <x:v>P1</x:v>
      </x:c>
      <x:c r="H28" s="27" t="str">
        <x:v>Not Started</x:v>
      </x:c>
      <x:c r="I28" s="27" t="str">
        <x:v>Janfon</x:v>
      </x:c>
      <x:c r="J28" s="21" t="str">
        <x:v>.blend source + export-ready deform rig</x:v>
      </x:c>
      <x:c r="K28" s="21" t="str">
        <x:v>Knee direction and toe roll remain stable in all eight locomotion directions.</x:v>
      </x:c>
      <x:c r="L28" s="21" t="str">
        <x:v>SRC-020: vt2-pusfume-1p/docs/ASSET_PIPELINE.md; SRC-026: vt2-pusfume-1p/tools/prepare_pusfume_1p_blend.py; SRC-025: vt2-pusfume-1p/tools/prepare_animated_pusfume_fbx.py</x:v>
      </x:c>
      <x:c r="M28" s="21" t="str"/>
    </x:row>
    <x:row r="29" ht="46" customHeight="1">
      <x:c r="A29" s="24" t="str">
        <x:v>MODEL-025</x:v>
      </x:c>
      <x:c r="B29" s="21" t="str">
        <x:v>Rig and skinning</x:v>
      </x:c>
      <x:c r="C29" s="21" t="str">
        <x:v>Tail chain</x:v>
      </x:c>
      <x:c r="D29" s="21" t="str">
        <x:v>Both</x:v>
      </x:c>
      <x:c r="E29" s="21" t="str">
        <x:v>Secondary motion</x:v>
      </x:c>
      <x:c r="F29" s="27" t="str">
        <x:v>Required</x:v>
      </x:c>
      <x:c r="G29" s="27" t="str">
        <x:v>P1</x:v>
      </x:c>
      <x:c r="H29" s="27" t="str">
        <x:v>Not Started</x:v>
      </x:c>
      <x:c r="I29" s="27" t="str">
        <x:v>Janfon</x:v>
      </x:c>
      <x:c r="J29" s="21" t="str">
        <x:v>.blend source + export-ready deform rig</x:v>
      </x:c>
      <x:c r="K29" s="21" t="str">
        <x:v>Sufficient segments for silhouette and procedural/animated sway; no scale keys.</x:v>
      </x:c>
      <x:c r="L29" s="21" t="str">
        <x:v>SRC-020: vt2-pusfume-1p/docs/ASSET_PIPELINE.md; SRC-026: vt2-pusfume-1p/tools/prepare_pusfume_1p_blend.py; SRC-025: vt2-pusfume-1p/tools/prepare_animated_pusfume_fbx.py</x:v>
      </x:c>
      <x:c r="M29" s="21" t="str"/>
    </x:row>
    <x:row r="30" ht="46" customHeight="1">
      <x:c r="A30" s="24" t="str">
        <x:v>MODEL-026</x:v>
      </x:c>
      <x:c r="B30" s="21" t="str">
        <x:v>Rig and skinning</x:v>
      </x:c>
      <x:c r="C30" s="21" t="str">
        <x:v>Whisker root bones</x:v>
      </x:c>
      <x:c r="D30" s="21" t="str">
        <x:v>Both</x:v>
      </x:c>
      <x:c r="E30" s="21" t="str">
        <x:v>Secondary motion</x:v>
      </x:c>
      <x:c r="F30" s="27" t="str">
        <x:v>Required</x:v>
      </x:c>
      <x:c r="G30" s="27" t="str">
        <x:v>P1</x:v>
      </x:c>
      <x:c r="H30" s="27" t="str">
        <x:v>Not Started</x:v>
      </x:c>
      <x:c r="I30" s="27" t="str">
        <x:v>Janfon</x:v>
      </x:c>
      <x:c r="J30" s="21" t="str">
        <x:v>.blend source + export-ready deform rig</x:v>
      </x:c>
      <x:c r="K30" s="21" t="str">
        <x:v>Symmetric named roots; card movement never exposes bright alpha planes.</x:v>
      </x:c>
      <x:c r="L30" s="21" t="str">
        <x:v>SRC-020: vt2-pusfume-1p/docs/ASSET_PIPELINE.md; SRC-026: vt2-pusfume-1p/tools/prepare_pusfume_1p_blend.py; SRC-025: vt2-pusfume-1p/tools/prepare_animated_pusfume_fbx.py</x:v>
      </x:c>
      <x:c r="M30" s="21" t="str"/>
    </x:row>
    <x:row r="31" ht="46" customHeight="1">
      <x:c r="A31" s="24" t="str">
        <x:v>MODEL-027</x:v>
      </x:c>
      <x:c r="B31" s="21" t="str">
        <x:v>Rig and skinning</x:v>
      </x:c>
      <x:c r="C31" s="21" t="str">
        <x:v>Fur/accessory physics bones</x:v>
      </x:c>
      <x:c r="D31" s="21" t="str">
        <x:v>Both</x:v>
      </x:c>
      <x:c r="E31" s="21" t="str">
        <x:v>Secondary motion</x:v>
      </x:c>
      <x:c r="F31" s="27" t="str">
        <x:v>Required</x:v>
      </x:c>
      <x:c r="G31" s="27" t="str">
        <x:v>P1</x:v>
      </x:c>
      <x:c r="H31" s="27" t="str">
        <x:v>Not Started</x:v>
      </x:c>
      <x:c r="I31" s="27" t="str">
        <x:v>Janfon</x:v>
      </x:c>
      <x:c r="J31" s="21" t="str">
        <x:v>.blend source + export-ready deform rig</x:v>
      </x:c>
      <x:c r="K31" s="21" t="str">
        <x:v>Only approved accessory bones; deterministic hierarchy; collision-safe limits documented.</x:v>
      </x:c>
      <x:c r="L31" s="21" t="str">
        <x:v>SRC-020: vt2-pusfume-1p/docs/ASSET_PIPELINE.md; SRC-026: vt2-pusfume-1p/tools/prepare_pusfume_1p_blend.py; SRC-025: vt2-pusfume-1p/tools/prepare_animated_pusfume_fbx.py</x:v>
      </x:c>
      <x:c r="M31" s="21" t="str"/>
    </x:row>
    <x:row r="32" ht="46" customHeight="1">
      <x:c r="A32" s="24" t="str">
        <x:v>MODEL-028</x:v>
      </x:c>
      <x:c r="B32" s="21" t="str">
        <x:v>Rig and skinning</x:v>
      </x:c>
      <x:c r="C32" s="21" t="str">
        <x:v>Weapon attachment nodes</x:v>
      </x:c>
      <x:c r="D32" s="21" t="str">
        <x:v>Both</x:v>
      </x:c>
      <x:c r="E32" s="21" t="str">
        <x:v>Right/left/back/hip</x:v>
      </x:c>
      <x:c r="F32" s="27" t="str">
        <x:v>Required</x:v>
      </x:c>
      <x:c r="G32" s="27" t="str">
        <x:v>P1</x:v>
      </x:c>
      <x:c r="H32" s="27" t="str">
        <x:v>Not Started</x:v>
      </x:c>
      <x:c r="I32" s="27" t="str">
        <x:v>Janfon</x:v>
      </x:c>
      <x:c r="J32" s="21" t="str">
        <x:v>.blend source + export-ready deform rig</x:v>
      </x:c>
      <x:c r="K32" s="21" t="str">
        <x:v>Named nodes match supported weapon templates and preserve handedness.</x:v>
      </x:c>
      <x:c r="L32" s="21" t="str">
        <x:v>SRC-020: vt2-pusfume-1p/docs/ASSET_PIPELINE.md; SRC-026: vt2-pusfume-1p/tools/prepare_pusfume_1p_blend.py; SRC-025: vt2-pusfume-1p/tools/prepare_animated_pusfume_fbx.py</x:v>
      </x:c>
      <x:c r="M32" s="21" t="str"/>
    </x:row>
    <x:row r="33" ht="46" customHeight="1">
      <x:c r="A33" s="24" t="str">
        <x:v>MODEL-029</x:v>
      </x:c>
      <x:c r="B33" s="21" t="str">
        <x:v>Rig and skinning</x:v>
      </x:c>
      <x:c r="C33" s="21" t="str">
        <x:v>Career prop attachment nodes</x:v>
      </x:c>
      <x:c r="D33" s="21" t="str">
        <x:v>Both</x:v>
      </x:c>
      <x:c r="E33" s="21" t="str">
        <x:v>Bag/tool/trap</x:v>
      </x:c>
      <x:c r="F33" s="27" t="str">
        <x:v>Required</x:v>
      </x:c>
      <x:c r="G33" s="27" t="str">
        <x:v>P1</x:v>
      </x:c>
      <x:c r="H33" s="27" t="str">
        <x:v>Not Started</x:v>
      </x:c>
      <x:c r="I33" s="27" t="str">
        <x:v>Janfon</x:v>
      </x:c>
      <x:c r="J33" s="21" t="str">
        <x:v>.blend source + export-ready deform rig</x:v>
      </x:c>
      <x:c r="K33" s="21" t="str">
        <x:v>Stable hand, back, and ground anchors with documented forward/up axes.</x:v>
      </x:c>
      <x:c r="L33" s="21" t="str">
        <x:v>SRC-020: vt2-pusfume-1p/docs/ASSET_PIPELINE.md; SRC-026: vt2-pusfume-1p/tools/prepare_pusfume_1p_blend.py; SRC-025: vt2-pusfume-1p/tools/prepare_animated_pusfume_fbx.py</x:v>
      </x:c>
      <x:c r="M33" s="21" t="str"/>
    </x:row>
    <x:row r="34" ht="46" customHeight="1">
      <x:c r="A34" s="24" t="str">
        <x:v>MODEL-030</x:v>
      </x:c>
      <x:c r="B34" s="21" t="str">
        <x:v>Rig and skinning</x:v>
      </x:c>
      <x:c r="C34" s="21" t="str">
        <x:v>VFX nodes</x:v>
      </x:c>
      <x:c r="D34" s="21" t="str">
        <x:v>Both</x:v>
      </x:c>
      <x:c r="E34" s="21" t="str">
        <x:v>Muzzle/hand/bag/gas</x:v>
      </x:c>
      <x:c r="F34" s="27" t="str">
        <x:v>Required</x:v>
      </x:c>
      <x:c r="G34" s="27" t="str">
        <x:v>P1</x:v>
      </x:c>
      <x:c r="H34" s="27" t="str">
        <x:v>Not Started</x:v>
      </x:c>
      <x:c r="I34" s="27" t="str">
        <x:v>Janfon</x:v>
      </x:c>
      <x:c r="J34" s="21" t="str">
        <x:v>.blend source + export-ready deform rig</x:v>
      </x:c>
      <x:c r="K34" s="21" t="str">
        <x:v>Named nodes exist for career skill and weapon effects; no dependency on render-only mesh names.</x:v>
      </x:c>
      <x:c r="L34" s="21" t="str">
        <x:v>SRC-020: vt2-pusfume-1p/docs/ASSET_PIPELINE.md; SRC-026: vt2-pusfume-1p/tools/prepare_pusfume_1p_blend.py; SRC-025: vt2-pusfume-1p/tools/prepare_animated_pusfume_fbx.py</x:v>
      </x:c>
      <x:c r="M34" s="21" t="str"/>
    </x:row>
    <x:row r="35" ht="46" customHeight="1">
      <x:c r="A35" s="24" t="str">
        <x:v>MODEL-031</x:v>
      </x:c>
      <x:c r="B35" s="21" t="str">
        <x:v>Rig and skinning</x:v>
      </x:c>
      <x:c r="C35" s="21" t="str">
        <x:v>Four-influence skinning</x:v>
      </x:c>
      <x:c r="D35" s="21" t="str">
        <x:v>Both</x:v>
      </x:c>
      <x:c r="E35" s="21" t="str">
        <x:v>All meshes</x:v>
      </x:c>
      <x:c r="F35" s="27" t="str">
        <x:v>Required</x:v>
      </x:c>
      <x:c r="G35" s="27" t="str">
        <x:v>P1</x:v>
      </x:c>
      <x:c r="H35" s="27" t="str">
        <x:v>Not Started</x:v>
      </x:c>
      <x:c r="I35" s="27" t="str">
        <x:v>Janfon</x:v>
      </x:c>
      <x:c r="J35" s="21" t="str">
        <x:v>.blend source + export-ready deform rig</x:v>
      </x:c>
      <x:c r="K35" s="21" t="str">
        <x:v>Every vertex has 1-4 normalized deform weights; no orphan groups or zero-weight vertices.</x:v>
      </x:c>
      <x:c r="L35" s="21" t="str">
        <x:v>SRC-020: vt2-pusfume-1p/docs/ASSET_PIPELINE.md; SRC-026: vt2-pusfume-1p/tools/prepare_pusfume_1p_blend.py; SRC-025: vt2-pusfume-1p/tools/prepare_animated_pusfume_fbx.py</x:v>
      </x:c>
      <x:c r="M35" s="21" t="str"/>
    </x:row>
    <x:row r="36" ht="46" customHeight="1">
      <x:c r="A36" s="24" t="str">
        <x:v>MODEL-032</x:v>
      </x:c>
      <x:c r="B36" s="21" t="str">
        <x:v>Rig and skinning</x:v>
      </x:c>
      <x:c r="C36" s="21" t="str">
        <x:v>Inverse bind validation</x:v>
      </x:c>
      <x:c r="D36" s="21" t="str">
        <x:v>Both</x:v>
      </x:c>
      <x:c r="E36" s="21" t="str">
        <x:v>All skinned exports</x:v>
      </x:c>
      <x:c r="F36" s="27" t="str">
        <x:v>Required</x:v>
      </x:c>
      <x:c r="G36" s="27" t="str">
        <x:v>P0</x:v>
      </x:c>
      <x:c r="H36" s="27" t="str">
        <x:v>Not Started</x:v>
      </x:c>
      <x:c r="I36" s="27" t="str">
        <x:v>Engineering</x:v>
      </x:c>
      <x:c r="J36" s="21" t="str">
        <x:v>.blend source + export-ready deform rig</x:v>
      </x:c>
      <x:c r="K36" s="21" t="str">
        <x:v>Blender rest skin, exported FBX, and compiled unit agree; no 100x local bone length or bind-space mismatch.</x:v>
      </x:c>
      <x:c r="L36" s="21" t="str">
        <x:v>SRC-020: vt2-pusfume-1p/docs/ASSET_PIPELINE.md; SRC-026: vt2-pusfume-1p/tools/prepare_pusfume_1p_blend.py; SRC-025: vt2-pusfume-1p/tools/prepare_animated_pusfume_fbx.py</x:v>
      </x:c>
      <x:c r="M36" s="21" t="str"/>
    </x:row>
    <x:row r="37" ht="46" customHeight="1">
      <x:c r="A37" s="24" t="str">
        <x:v>MODEL-033</x:v>
      </x:c>
      <x:c r="B37" s="21" t="str">
        <x:v>Rig and skinning</x:v>
      </x:c>
      <x:c r="C37" s="21" t="str">
        <x:v>Left/right naming validation</x:v>
      </x:c>
      <x:c r="D37" s="21" t="str">
        <x:v>Both</x:v>
      </x:c>
      <x:c r="E37" s="21" t="str">
        <x:v>j_left / j_right and legacy names</x:v>
      </x:c>
      <x:c r="F37" s="27" t="str">
        <x:v>Required</x:v>
      </x:c>
      <x:c r="G37" s="27" t="str">
        <x:v>P1</x:v>
      </x:c>
      <x:c r="H37" s="27" t="str">
        <x:v>Not Started</x:v>
      </x:c>
      <x:c r="I37" s="27" t="str">
        <x:v>Engineering</x:v>
      </x:c>
      <x:c r="J37" s="21" t="str">
        <x:v>.blend source + export-ready deform rig</x:v>
      </x:c>
      <x:c r="K37" s="21" t="str">
        <x:v>Mirroring workflow is author-friendly while exported deform names remain exactly compatible.</x:v>
      </x:c>
      <x:c r="L37" s="21" t="str">
        <x:v>SRC-020: vt2-pusfume-1p/docs/ASSET_PIPELINE.md; SRC-026: vt2-pusfume-1p/tools/prepare_pusfume_1p_blend.py; SRC-025: vt2-pusfume-1p/tools/prepare_animated_pusfume_fbx.py</x:v>
      </x:c>
      <x:c r="M37" s="21" t="str"/>
    </x:row>
    <x:row r="38" ht="46" customHeight="1">
      <x:c r="A38" s="24" t="str">
        <x:v>MODEL-034</x:v>
      </x:c>
      <x:c r="B38" s="21" t="str">
        <x:v>Physics and collision</x:v>
      </x:c>
      <x:c r="C38" s="21" t="str">
        <x:v>Ragdoll rig</x:v>
      </x:c>
      <x:c r="D38" s="21" t="str">
        <x:v>Third person</x:v>
      </x:c>
      <x:c r="E38" s="21" t="str">
        <x:v>Dead player</x:v>
      </x:c>
      <x:c r="F38" s="27" t="str">
        <x:v>Required</x:v>
      </x:c>
      <x:c r="G38" s="27" t="str">
        <x:v>P1</x:v>
      </x:c>
      <x:c r="H38" s="27" t="str">
        <x:v>Not Started</x:v>
      </x:c>
      <x:c r="I38" s="27" t="str">
        <x:v>Janfon</x:v>
      </x:c>
      <x:c r="J38" s="21" t="str">
        <x:v>Rig/physics setup and test scene</x:v>
      </x:c>
      <x:c r="K38" s="21" t="str">
        <x:v>Bodies settle without explosion, stretching, or detached accessories.</x:v>
      </x:c>
      <x:c r="L38" s="21" t="str">
        <x:v>SRC-016: scripts/settings/profiles/base_units.lua; SRC-021: vt2-pusfume-1p/docs/MODEL_HANDOFF.md</x:v>
      </x:c>
      <x:c r="M38" s="21" t="str"/>
    </x:row>
    <x:row r="39" ht="46" customHeight="1">
      <x:c r="A39" s="24" t="str">
        <x:v>MODEL-035</x:v>
      </x:c>
      <x:c r="B39" s="21" t="str">
        <x:v>Physics and collision</x:v>
      </x:c>
      <x:c r="C39" s="21" t="str">
        <x:v>Ragdoll collision bodies</x:v>
      </x:c>
      <x:c r="D39" s="21" t="str">
        <x:v>Third person</x:v>
      </x:c>
      <x:c r="E39" s="21" t="str">
        <x:v>Torso/head/limbs/tail</x:v>
      </x:c>
      <x:c r="F39" s="27" t="str">
        <x:v>Required</x:v>
      </x:c>
      <x:c r="G39" s="27" t="str">
        <x:v>P1</x:v>
      </x:c>
      <x:c r="H39" s="27" t="str">
        <x:v>Not Started</x:v>
      </x:c>
      <x:c r="I39" s="27" t="str">
        <x:v>Janfon</x:v>
      </x:c>
      <x:c r="J39" s="21" t="str">
        <x:v>Rig/physics setup and test scene</x:v>
      </x:c>
      <x:c r="K39" s="21" t="str">
        <x:v>Collision shapes approximate mass and do not snag excessively on stairs or ledges.</x:v>
      </x:c>
      <x:c r="L39" s="21" t="str">
        <x:v>SRC-016: scripts/settings/profiles/base_units.lua; SRC-021: vt2-pusfume-1p/docs/MODEL_HANDOFF.md</x:v>
      </x:c>
      <x:c r="M39" s="21" t="str"/>
    </x:row>
    <x:row r="40" ht="46" customHeight="1">
      <x:c r="A40" s="24" t="str">
        <x:v>MODEL-036</x:v>
      </x:c>
      <x:c r="B40" s="21" t="str">
        <x:v>Physics and collision</x:v>
      </x:c>
      <x:c r="C40" s="21" t="str">
        <x:v>Hit collision volumes</x:v>
      </x:c>
      <x:c r="D40" s="21" t="str">
        <x:v>Third person</x:v>
      </x:c>
      <x:c r="E40" s="21" t="str">
        <x:v>Gameplay body</x:v>
      </x:c>
      <x:c r="F40" s="27" t="str">
        <x:v>Required</x:v>
      </x:c>
      <x:c r="G40" s="27" t="str">
        <x:v>P1</x:v>
      </x:c>
      <x:c r="H40" s="27" t="str">
        <x:v>Not Started</x:v>
      </x:c>
      <x:c r="I40" s="27" t="str">
        <x:v>Janfon</x:v>
      </x:c>
      <x:c r="J40" s="21" t="str">
        <x:v>Rig/physics setup and test scene</x:v>
      </x:c>
      <x:c r="K40" s="21" t="str">
        <x:v>Hit zones match visible silhouette and do not change gameplay reach unintentionally.</x:v>
      </x:c>
      <x:c r="L40" s="21" t="str">
        <x:v>SRC-016: scripts/settings/profiles/base_units.lua; SRC-021: vt2-pusfume-1p/docs/MODEL_HANDOFF.md</x:v>
      </x:c>
      <x:c r="M40" s="21" t="str"/>
    </x:row>
    <x:row r="41" ht="46" customHeight="1">
      <x:c r="A41" s="24" t="str">
        <x:v>MODEL-037</x:v>
      </x:c>
      <x:c r="B41" s="21" t="str">
        <x:v>Physics and collision</x:v>
      </x:c>
      <x:c r="C41" s="21" t="str">
        <x:v>Character controller clearance</x:v>
      </x:c>
      <x:c r="D41" s="21" t="str">
        <x:v>Third person</x:v>
      </x:c>
      <x:c r="E41" s="21" t="str">
        <x:v>Standing/crouching</x:v>
      </x:c>
      <x:c r="F41" s="27" t="str">
        <x:v>Required</x:v>
      </x:c>
      <x:c r="G41" s="27" t="str">
        <x:v>P1</x:v>
      </x:c>
      <x:c r="H41" s="27" t="str">
        <x:v>Not Started</x:v>
      </x:c>
      <x:c r="I41" s="27" t="str">
        <x:v>Janfon</x:v>
      </x:c>
      <x:c r="J41" s="21" t="str">
        <x:v>Rig/physics setup and test scene</x:v>
      </x:c>
      <x:c r="K41" s="21" t="str">
        <x:v>Visual mesh fits vanilla player capsule through doors, ladders, and ledges.</x:v>
      </x:c>
      <x:c r="L41" s="21" t="str">
        <x:v>SRC-016: scripts/settings/profiles/base_units.lua; SRC-021: vt2-pusfume-1p/docs/MODEL_HANDOFF.md</x:v>
      </x:c>
      <x:c r="M41" s="21" t="str"/>
    </x:row>
    <x:row r="42" ht="46" customHeight="1">
      <x:c r="A42" s="24" t="str">
        <x:v>MODEL-038</x:v>
      </x:c>
      <x:c r="B42" s="21" t="str">
        <x:v>Physics and collision</x:v>
      </x:c>
      <x:c r="C42" s="21" t="str">
        <x:v>Fur/whisker collision</x:v>
      </x:c>
      <x:c r="D42" s="21" t="str">
        <x:v>Third person</x:v>
      </x:c>
      <x:c r="E42" s="21" t="str">
        <x:v>Head/shoulders</x:v>
      </x:c>
      <x:c r="F42" s="27" t="str">
        <x:v>Required</x:v>
      </x:c>
      <x:c r="G42" s="27" t="str">
        <x:v>P1</x:v>
      </x:c>
      <x:c r="H42" s="27" t="str">
        <x:v>Not Started</x:v>
      </x:c>
      <x:c r="I42" s="27" t="str">
        <x:v>Janfon</x:v>
      </x:c>
      <x:c r="J42" s="21" t="str">
        <x:v>Rig/physics setup and test scene</x:v>
      </x:c>
      <x:c r="K42" s="21" t="str">
        <x:v>Secondary meshes do not pass through face/torso during normal movement.</x:v>
      </x:c>
      <x:c r="L42" s="21" t="str">
        <x:v>SRC-016: scripts/settings/profiles/base_units.lua; SRC-021: vt2-pusfume-1p/docs/MODEL_HANDOFF.md</x:v>
      </x:c>
      <x:c r="M42" s="21" t="str"/>
    </x:row>
    <x:row r="43" ht="46" customHeight="1">
      <x:c r="A43" s="24" t="str">
        <x:v>MODEL-039</x:v>
      </x:c>
      <x:c r="B43" s="21" t="str">
        <x:v>Physics and collision</x:v>
      </x:c>
      <x:c r="C43" s="21" t="str">
        <x:v>Physics fallback pose</x:v>
      </x:c>
      <x:c r="D43" s="21" t="str">
        <x:v>Third person</x:v>
      </x:c>
      <x:c r="E43" s="21" t="str">
        <x:v>Low detail / disabled physics</x:v>
      </x:c>
      <x:c r="F43" s="27" t="str">
        <x:v>Required</x:v>
      </x:c>
      <x:c r="G43" s="27" t="str">
        <x:v>P1</x:v>
      </x:c>
      <x:c r="H43" s="27" t="str">
        <x:v>Not Started</x:v>
      </x:c>
      <x:c r="I43" s="27" t="str">
        <x:v>Janfon</x:v>
      </x:c>
      <x:c r="J43" s="21" t="str">
        <x:v>Rig/physics setup and test scene</x:v>
      </x:c>
      <x:c r="K43" s="21" t="str">
        <x:v>Cards and tail remain acceptable when secondary simulation is unavailable.</x:v>
      </x:c>
      <x:c r="L43" s="21" t="str">
        <x:v>SRC-016: scripts/settings/profiles/base_units.lua; SRC-021: vt2-pusfume-1p/docs/MODEL_HANDOFF.md</x:v>
      </x:c>
      <x:c r="M43" s="21" t="str"/>
    </x:row>
    <x:row r="44" ht="46" customHeight="1">
      <x:c r="A44" s="24" t="str">
        <x:v>MODEL-040</x:v>
      </x:c>
      <x:c r="B44" s="21" t="str">
        <x:v>Optimization</x:v>
      </x:c>
      <x:c r="C44" s="21" t="str">
        <x:v>Third-person LOD0</x:v>
      </x:c>
      <x:c r="D44" s="21" t="str">
        <x:v>Third person</x:v>
      </x:c>
      <x:c r="E44" s="21" t="str">
        <x:v>Hero view / near</x:v>
      </x:c>
      <x:c r="F44" s="27" t="str">
        <x:v>Required</x:v>
      </x:c>
      <x:c r="G44" s="27" t="str">
        <x:v>P0</x:v>
      </x:c>
      <x:c r="H44" s="27" t="str">
        <x:v>Not Started</x:v>
      </x:c>
      <x:c r="I44" s="27" t="str">
        <x:v>Janfon</x:v>
      </x:c>
      <x:c r="J44" s="21" t="str">
        <x:v>Optimized LOD0 mesh</x:v>
      </x:c>
      <x:c r="K44" s="21" t="str">
        <x:v>Preserves silhouette and material boundaries; bone palette and alpha-card cost stay within donor-character range.</x:v>
      </x:c>
      <x:c r="L44" s="21" t="str">
        <x:v>SRC-021: vt2-pusfume-1p/docs/MODEL_HANDOFF.md; SRC-008: scripts/settings/equipment/cosmetics.lua</x:v>
      </x:c>
      <x:c r="M44" s="21" t="str"/>
    </x:row>
    <x:row r="45" ht="46" customHeight="1">
      <x:c r="A45" s="24" t="str">
        <x:v>MODEL-041</x:v>
      </x:c>
      <x:c r="B45" s="21" t="str">
        <x:v>Optimization</x:v>
      </x:c>
      <x:c r="C45" s="21" t="str">
        <x:v>Third-person LOD1</x:v>
      </x:c>
      <x:c r="D45" s="21" t="str">
        <x:v>Third person</x:v>
      </x:c>
      <x:c r="E45" s="21" t="str">
        <x:v>Normal combat</x:v>
      </x:c>
      <x:c r="F45" s="27" t="str">
        <x:v>Conditional</x:v>
      </x:c>
      <x:c r="G45" s="27" t="str">
        <x:v>P2</x:v>
      </x:c>
      <x:c r="H45" s="27" t="str">
        <x:v>Not Started</x:v>
      </x:c>
      <x:c r="I45" s="27" t="str">
        <x:v>Janfon</x:v>
      </x:c>
      <x:c r="J45" s="21" t="str">
        <x:v>Optimized LOD1 mesh</x:v>
      </x:c>
      <x:c r="K45" s="21" t="str">
        <x:v>Preserves silhouette and material boundaries; bone palette and alpha-card cost stay within donor-character range.</x:v>
      </x:c>
      <x:c r="L45" s="21" t="str">
        <x:v>SRC-021: vt2-pusfume-1p/docs/MODEL_HANDOFF.md; SRC-008: scripts/settings/equipment/cosmetics.lua</x:v>
      </x:c>
      <x:c r="M45" s="21" t="str"/>
    </x:row>
    <x:row r="46" ht="46" customHeight="1">
      <x:c r="A46" s="24" t="str">
        <x:v>MODEL-042</x:v>
      </x:c>
      <x:c r="B46" s="21" t="str">
        <x:v>Optimization</x:v>
      </x:c>
      <x:c r="C46" s="21" t="str">
        <x:v>Third-person LOD2</x:v>
      </x:c>
      <x:c r="D46" s="21" t="str">
        <x:v>Third person</x:v>
      </x:c>
      <x:c r="E46" s="21" t="str">
        <x:v>Mid-distance</x:v>
      </x:c>
      <x:c r="F46" s="27" t="str">
        <x:v>Conditional</x:v>
      </x:c>
      <x:c r="G46" s="27" t="str">
        <x:v>P2</x:v>
      </x:c>
      <x:c r="H46" s="27" t="str">
        <x:v>Not Started</x:v>
      </x:c>
      <x:c r="I46" s="27" t="str">
        <x:v>Janfon</x:v>
      </x:c>
      <x:c r="J46" s="21" t="str">
        <x:v>Optimized LOD2 mesh</x:v>
      </x:c>
      <x:c r="K46" s="21" t="str">
        <x:v>Preserves silhouette and material boundaries; bone palette and alpha-card cost stay within donor-character range.</x:v>
      </x:c>
      <x:c r="L46" s="21" t="str">
        <x:v>SRC-021: vt2-pusfume-1p/docs/MODEL_HANDOFF.md; SRC-008: scripts/settings/equipment/cosmetics.lua</x:v>
      </x:c>
      <x:c r="M46" s="21" t="str"/>
    </x:row>
    <x:row r="47" ht="46" customHeight="1">
      <x:c r="A47" s="24" t="str">
        <x:v>MODEL-043</x:v>
      </x:c>
      <x:c r="B47" s="21" t="str">
        <x:v>Optimization</x:v>
      </x:c>
      <x:c r="C47" s="21" t="str">
        <x:v>Third-person LOD3</x:v>
      </x:c>
      <x:c r="D47" s="21" t="str">
        <x:v>Third person</x:v>
      </x:c>
      <x:c r="E47" s="21" t="str">
        <x:v>Far-distance</x:v>
      </x:c>
      <x:c r="F47" s="27" t="str">
        <x:v>Conditional</x:v>
      </x:c>
      <x:c r="G47" s="27" t="str">
        <x:v>P2</x:v>
      </x:c>
      <x:c r="H47" s="27" t="str">
        <x:v>Not Started</x:v>
      </x:c>
      <x:c r="I47" s="27" t="str">
        <x:v>Janfon</x:v>
      </x:c>
      <x:c r="J47" s="21" t="str">
        <x:v>Optimized LOD3 mesh</x:v>
      </x:c>
      <x:c r="K47" s="21" t="str">
        <x:v>Preserves silhouette and material boundaries; bone palette and alpha-card cost stay within donor-character range.</x:v>
      </x:c>
      <x:c r="L47" s="21" t="str">
        <x:v>SRC-021: vt2-pusfume-1p/docs/MODEL_HANDOFF.md; SRC-008: scripts/settings/equipment/cosmetics.lua</x:v>
      </x:c>
      <x:c r="M47" s="21" t="str"/>
    </x:row>
    <x:row r="48" ht="46" customHeight="1">
      <x:c r="A48" s="24" t="str">
        <x:v>MODEL-044</x:v>
      </x:c>
      <x:c r="B48" s="21" t="str">
        <x:v>Technical model</x:v>
      </x:c>
      <x:c r="C48" s="21" t="str">
        <x:v>Shadow-caster mesh</x:v>
      </x:c>
      <x:c r="D48" s="21" t="str">
        <x:v>Both</x:v>
      </x:c>
      <x:c r="E48" s="21" t="str">
        <x:v>Build gate</x:v>
      </x:c>
      <x:c r="F48" s="27" t="str">
        <x:v>Required</x:v>
      </x:c>
      <x:c r="G48" s="27" t="str">
        <x:v>P1</x:v>
      </x:c>
      <x:c r="H48" s="27" t="str">
        <x:v>Not Started</x:v>
      </x:c>
      <x:c r="I48" s="27" t="str">
        <x:v>Janfon</x:v>
      </x:c>
      <x:c r="J48" s="21" t="str">
        <x:v>Validated source and compiler report</x:v>
      </x:c>
      <x:c r="K48" s="21" t="str">
        <x:v>No culling, shadow, tangent, pivot, winding, duplicate-face, or UV-set regressions in hero view and gameplay.</x:v>
      </x:c>
      <x:c r="L48" s="21" t="str">
        <x:v>SRC-027: vt2-pusfume-1p/tools/Build-NativePusfume.ps1; SRC-020: vt2-pusfume-1p/docs/ASSET_PIPELINE.md</x:v>
      </x:c>
      <x:c r="M48" s="21" t="str"/>
    </x:row>
    <x:row r="49" ht="46" customHeight="1">
      <x:c r="A49" s="24" t="str">
        <x:v>MODEL-045</x:v>
      </x:c>
      <x:c r="B49" s="21" t="str">
        <x:v>Technical model</x:v>
      </x:c>
      <x:c r="C49" s="21" t="str">
        <x:v>First-person shadow policy</x:v>
      </x:c>
      <x:c r="D49" s="21" t="str">
        <x:v>Both</x:v>
      </x:c>
      <x:c r="E49" s="21" t="str">
        <x:v>Build gate</x:v>
      </x:c>
      <x:c r="F49" s="27" t="str">
        <x:v>Required</x:v>
      </x:c>
      <x:c r="G49" s="27" t="str">
        <x:v>P1</x:v>
      </x:c>
      <x:c r="H49" s="27" t="str">
        <x:v>Not Started</x:v>
      </x:c>
      <x:c r="I49" s="27" t="str">
        <x:v>Janfon</x:v>
      </x:c>
      <x:c r="J49" s="21" t="str">
        <x:v>Validated source and compiler report</x:v>
      </x:c>
      <x:c r="K49" s="21" t="str">
        <x:v>No culling, shadow, tangent, pivot, winding, duplicate-face, or UV-set regressions in hero view and gameplay.</x:v>
      </x:c>
      <x:c r="L49" s="21" t="str">
        <x:v>SRC-027: vt2-pusfume-1p/tools/Build-NativePusfume.ps1; SRC-020: vt2-pusfume-1p/docs/ASSET_PIPELINE.md</x:v>
      </x:c>
      <x:c r="M49" s="21" t="str"/>
    </x:row>
    <x:row r="50" ht="46" customHeight="1">
      <x:c r="A50" s="24" t="str">
        <x:v>MODEL-046</x:v>
      </x:c>
      <x:c r="B50" s="21" t="str">
        <x:v>Technical model</x:v>
      </x:c>
      <x:c r="C50" s="21" t="str">
        <x:v>Mesh bounds</x:v>
      </x:c>
      <x:c r="D50" s="21" t="str">
        <x:v>Both</x:v>
      </x:c>
      <x:c r="E50" s="21" t="str">
        <x:v>Build gate</x:v>
      </x:c>
      <x:c r="F50" s="27" t="str">
        <x:v>Required</x:v>
      </x:c>
      <x:c r="G50" s="27" t="str">
        <x:v>P1</x:v>
      </x:c>
      <x:c r="H50" s="27" t="str">
        <x:v>Not Started</x:v>
      </x:c>
      <x:c r="I50" s="27" t="str">
        <x:v>Engineering</x:v>
      </x:c>
      <x:c r="J50" s="21" t="str">
        <x:v>Validated source and compiler report</x:v>
      </x:c>
      <x:c r="K50" s="21" t="str">
        <x:v>No culling, shadow, tangent, pivot, winding, duplicate-face, or UV-set regressions in hero view and gameplay.</x:v>
      </x:c>
      <x:c r="L50" s="21" t="str">
        <x:v>SRC-027: vt2-pusfume-1p/tools/Build-NativePusfume.ps1; SRC-020: vt2-pusfume-1p/docs/ASSET_PIPELINE.md</x:v>
      </x:c>
      <x:c r="M50" s="21" t="str"/>
    </x:row>
    <x:row r="51" ht="46" customHeight="1">
      <x:c r="A51" s="24" t="str">
        <x:v>MODEL-047</x:v>
      </x:c>
      <x:c r="B51" s="21" t="str">
        <x:v>Technical model</x:v>
      </x:c>
      <x:c r="C51" s="21" t="str">
        <x:v>Animation bounds</x:v>
      </x:c>
      <x:c r="D51" s="21" t="str">
        <x:v>Both</x:v>
      </x:c>
      <x:c r="E51" s="21" t="str">
        <x:v>Build gate</x:v>
      </x:c>
      <x:c r="F51" s="27" t="str">
        <x:v>Required</x:v>
      </x:c>
      <x:c r="G51" s="27" t="str">
        <x:v>P1</x:v>
      </x:c>
      <x:c r="H51" s="27" t="str">
        <x:v>Not Started</x:v>
      </x:c>
      <x:c r="I51" s="27" t="str">
        <x:v>Engineering</x:v>
      </x:c>
      <x:c r="J51" s="21" t="str">
        <x:v>Validated source and compiler report</x:v>
      </x:c>
      <x:c r="K51" s="21" t="str">
        <x:v>No culling, shadow, tangent, pivot, winding, duplicate-face, or UV-set regressions in hero view and gameplay.</x:v>
      </x:c>
      <x:c r="L51" s="21" t="str">
        <x:v>SRC-027: vt2-pusfume-1p/tools/Build-NativePusfume.ps1; SRC-020: vt2-pusfume-1p/docs/ASSET_PIPELINE.md</x:v>
      </x:c>
      <x:c r="M51" s="21" t="str"/>
    </x:row>
    <x:row r="52" ht="46" customHeight="1">
      <x:c r="A52" s="24" t="str">
        <x:v>MODEL-048</x:v>
      </x:c>
      <x:c r="B52" s="21" t="str">
        <x:v>Technical model</x:v>
      </x:c>
      <x:c r="C52" s="21" t="str">
        <x:v>Unit pivots</x:v>
      </x:c>
      <x:c r="D52" s="21" t="str">
        <x:v>Both</x:v>
      </x:c>
      <x:c r="E52" s="21" t="str">
        <x:v>Build gate</x:v>
      </x:c>
      <x:c r="F52" s="27" t="str">
        <x:v>Required</x:v>
      </x:c>
      <x:c r="G52" s="27" t="str">
        <x:v>P1</x:v>
      </x:c>
      <x:c r="H52" s="27" t="str">
        <x:v>Not Started</x:v>
      </x:c>
      <x:c r="I52" s="27" t="str">
        <x:v>Janfon</x:v>
      </x:c>
      <x:c r="J52" s="21" t="str">
        <x:v>Validated source and compiler report</x:v>
      </x:c>
      <x:c r="K52" s="21" t="str">
        <x:v>No culling, shadow, tangent, pivot, winding, duplicate-face, or UV-set regressions in hero view and gameplay.</x:v>
      </x:c>
      <x:c r="L52" s="21" t="str">
        <x:v>SRC-027: vt2-pusfume-1p/tools/Build-NativePusfume.ps1; SRC-020: vt2-pusfume-1p/docs/ASSET_PIPELINE.md</x:v>
      </x:c>
      <x:c r="M52" s="21" t="str"/>
    </x:row>
    <x:row r="53" ht="46" customHeight="1">
      <x:c r="A53" s="24" t="str">
        <x:v>MODEL-049</x:v>
      </x:c>
      <x:c r="B53" s="21" t="str">
        <x:v>Technical model</x:v>
      </x:c>
      <x:c r="C53" s="21" t="str">
        <x:v>Material slot naming</x:v>
      </x:c>
      <x:c r="D53" s="21" t="str">
        <x:v>Both</x:v>
      </x:c>
      <x:c r="E53" s="21" t="str">
        <x:v>Build gate</x:v>
      </x:c>
      <x:c r="F53" s="27" t="str">
        <x:v>Required</x:v>
      </x:c>
      <x:c r="G53" s="27" t="str">
        <x:v>P1</x:v>
      </x:c>
      <x:c r="H53" s="27" t="str">
        <x:v>Not Started</x:v>
      </x:c>
      <x:c r="I53" s="27" t="str">
        <x:v>Engineering</x:v>
      </x:c>
      <x:c r="J53" s="21" t="str">
        <x:v>Validated source and compiler report</x:v>
      </x:c>
      <x:c r="K53" s="21" t="str">
        <x:v>No culling, shadow, tangent, pivot, winding, duplicate-face, or UV-set regressions in hero view and gameplay.</x:v>
      </x:c>
      <x:c r="L53" s="21" t="str">
        <x:v>SRC-027: vt2-pusfume-1p/tools/Build-NativePusfume.ps1; SRC-020: vt2-pusfume-1p/docs/ASSET_PIPELINE.md</x:v>
      </x:c>
      <x:c r="M53" s="21" t="str"/>
    </x:row>
    <x:row r="54" ht="46" customHeight="1">
      <x:c r="A54" s="24" t="str">
        <x:v>MODEL-050</x:v>
      </x:c>
      <x:c r="B54" s="21" t="str">
        <x:v>Technical model</x:v>
      </x:c>
      <x:c r="C54" s="21" t="str">
        <x:v>Topology/normal cleanup</x:v>
      </x:c>
      <x:c r="D54" s="21" t="str">
        <x:v>Both</x:v>
      </x:c>
      <x:c r="E54" s="21" t="str">
        <x:v>Build gate</x:v>
      </x:c>
      <x:c r="F54" s="27" t="str">
        <x:v>Required</x:v>
      </x:c>
      <x:c r="G54" s="27" t="str">
        <x:v>P1</x:v>
      </x:c>
      <x:c r="H54" s="27" t="str">
        <x:v>Not Started</x:v>
      </x:c>
      <x:c r="I54" s="27" t="str">
        <x:v>Janfon</x:v>
      </x:c>
      <x:c r="J54" s="21" t="str">
        <x:v>Validated source and compiler report</x:v>
      </x:c>
      <x:c r="K54" s="21" t="str">
        <x:v>No culling, shadow, tangent, pivot, winding, duplicate-face, or UV-set regressions in hero view and gameplay.</x:v>
      </x:c>
      <x:c r="L54" s="21" t="str">
        <x:v>SRC-027: vt2-pusfume-1p/tools/Build-NativePusfume.ps1; SRC-020: vt2-pusfume-1p/docs/ASSET_PIPELINE.md</x:v>
      </x:c>
      <x:c r="M54" s="21" t="str"/>
    </x:row>
    <x:row r="55" ht="46" customHeight="1">
      <x:c r="A55" s="25" t="str">
        <x:v>MODEL-051</x:v>
      </x:c>
      <x:c r="B55" s="22" t="str">
        <x:v>Technical model</x:v>
      </x:c>
      <x:c r="C55" s="22" t="str">
        <x:v>UV set validation</x:v>
      </x:c>
      <x:c r="D55" s="22" t="str">
        <x:v>Both</x:v>
      </x:c>
      <x:c r="E55" s="22" t="str">
        <x:v>Build gate</x:v>
      </x:c>
      <x:c r="F55" s="28" t="str">
        <x:v>Required</x:v>
      </x:c>
      <x:c r="G55" s="28" t="str">
        <x:v>P1</x:v>
      </x:c>
      <x:c r="H55" s="28" t="str">
        <x:v>Not Started</x:v>
      </x:c>
      <x:c r="I55" s="28" t="str">
        <x:v>Janfon</x:v>
      </x:c>
      <x:c r="J55" s="22" t="str">
        <x:v>Validated source and compiler report</x:v>
      </x:c>
      <x:c r="K55" s="22" t="str">
        <x:v>No culling, shadow, tangent, pivot, winding, duplicate-face, or UV-set regressions in hero view and gameplay.</x:v>
      </x:c>
      <x:c r="L55" s="22" t="str">
        <x:v>SRC-027: vt2-pusfume-1p/tools/Build-NativePusfume.ps1; SRC-020: vt2-pusfume-1p/docs/ASSET_PIPELINE.md</x:v>
      </x:c>
      <x:c r="M55" s="22" t="str"/>
    </x:row>
  </x:sheetData>
  <x:mergeCells>
    <x:mergeCell ref="A1:M1"/>
    <x:mergeCell ref="A2:M2"/>
  </x:mergeCells>
  <x:conditionalFormatting sqref="H5:H55">
    <x:cfRule type="containsText" dxfId="6" priority="1" operator="containsText" text="Complete"/>
    <x:cfRule type="containsText" dxfId="7" priority="2" operator="containsText" text="In Progress"/>
    <x:cfRule type="containsText" dxfId="8" priority="3" operator="containsText" text="Prototype Ready"/>
    <x:cfRule type="containsText" dxfId="9" priority="4" operator="containsText" text="Blocked"/>
  </x:conditionalFormatting>
  <x:conditionalFormatting sqref="G5:G55">
    <x:cfRule type="containsText" dxfId="10" priority="5" operator="containsText" text="P0"/>
    <x:cfRule type="containsText" dxfId="11" priority="6" operator="containsText" text="P1"/>
  </x:conditionalFormatting>
  <x:dataValidations count="4">
    <x:dataValidation type="list" sqref="F5:F55">
      <x:formula1>"Required,Optional,Conditional"</x:formula1>
    </x:dataValidation>
    <x:dataValidation type="list" sqref="G5:G55">
      <x:formula1>"P0,P1,P2,P3"</x:formula1>
    </x:dataValidation>
    <x:dataValidation type="list" sqref="H5:H55">
      <x:formula1>"Not Started,In Progress,Ready for Review,Prototype Ready,Blocked,Complete,Not Applicable"</x:formula1>
    </x:dataValidation>
    <x:dataValidation type="list" sqref="I5:I55">
      <x:formula1>"Janfon,Engineering,Audio,VFX,Design,QA,Janfon + Engineering,Unassigned"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64e407d78649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6" hidden="0" customWidth="1"/>
    <x:col min="5" max="5" width="25" hidden="0" customWidth="1"/>
    <x:col min="6" max="6" width="14" hidden="0" customWidth="1"/>
    <x:col min="7" max="7" width="12" hidden="0" customWidth="1"/>
    <x:col min="8" max="8" width="19" hidden="0" customWidth="1"/>
    <x:col min="9" max="9" width="20" hidden="0" customWidth="1"/>
    <x:col min="10" max="10" width="31" hidden="0" customWidth="1"/>
    <x:col min="11" max="11" width="58" hidden="0" customWidth="1"/>
    <x:col min="12" max="12" width="58" hidden="0" customWidth="1"/>
    <x:col min="13" max="13" width="44" hidden="0" customWidth="1"/>
  </x:cols>
  <x:sheetData>
    <x:row r="1" ht="34" customHeight="1">
      <x:c r="A1" s="3" t="str">
        <x:v>Textures &amp; Materials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Per-surface map requirements, alpha-card treatment, atlas integration, color-space rules, and visual regression references.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ID</x:v>
      </x:c>
      <x:c r="B4" s="12" t="str">
        <x:v>Workstream</x:v>
      </x:c>
      <x:c r="C4" s="12" t="str">
        <x:v>Asset / Motion</x:v>
      </x:c>
      <x:c r="D4" s="12" t="str">
        <x:v>Perspective</x:v>
      </x:c>
      <x:c r="E4" s="12" t="str">
        <x:v>Variant / Direction</x:v>
      </x:c>
      <x:c r="F4" s="12" t="str">
        <x:v>Requirement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Deliverable / Format</x:v>
      </x:c>
      <x:c r="K4" s="12" t="str">
        <x:v>Acceptance Criteria</x:v>
      </x:c>
      <x:c r="L4" s="12" t="str">
        <x:v>VT2 Source Reference</x:v>
      </x:c>
      <x:c r="M4" s="12" t="str">
        <x:v>Notes</x:v>
      </x:c>
    </x:row>
    <x:row r="5" ht="46" customHeight="1">
      <x:c r="A5" s="23" t="str">
        <x:v>TEX-001</x:v>
      </x:c>
      <x:c r="B5" s="20" t="str">
        <x:v>Texture set</x:v>
      </x:c>
      <x:c r="C5" s="20" t="str">
        <x:v>Body/skin: Base color / diffuse</x:v>
      </x:c>
      <x:c r="D5" s="20" t="str">
        <x:v>Both</x:v>
      </x:c>
      <x:c r="E5" s="20" t="str">
        <x:v>Final UV layout</x:v>
      </x:c>
      <x:c r="F5" s="26" t="str">
        <x:v>Required</x:v>
      </x:c>
      <x:c r="G5" s="26" t="str">
        <x:v>P0</x:v>
      </x:c>
      <x:c r="H5" s="26" t="str">
        <x:v>Not Started</x:v>
      </x:c>
      <x:c r="I5" s="26" t="str">
        <x:v>Janfon</x:v>
      </x:c>
      <x:c r="J5" s="20" t="str">
        <x:v>Lossless source PNG/TGA plus compiled texture recipe input</x:v>
      </x:c>
      <x:c r="K5" s="20" t="str">
        <x:v>sRGB color, no baked lighting; seams remain clean under mipmapping and 4K hero-view inspection.</x:v>
      </x:c>
      <x:c r="L5" s="20" t="str">
        <x:v>SRC-021: vt2-pusfume-1p/docs/MODEL_HANDOFF.md; SRC-028: vt2-pusfume-1p/tools/pusfume_atlas_layout.json</x:v>
      </x:c>
      <x:c r="M5" s="20" t="str"/>
    </x:row>
    <x:row r="6" ht="46" customHeight="1">
      <x:c r="A6" s="24" t="str">
        <x:v>TEX-002</x:v>
      </x:c>
      <x:c r="B6" s="21" t="str">
        <x:v>Texture set</x:v>
      </x:c>
      <x:c r="C6" s="21" t="str">
        <x:v>Body/skin: Normal + gloss</x:v>
      </x:c>
      <x:c r="D6" s="21" t="str">
        <x:v>Both</x:v>
      </x:c>
      <x:c r="E6" s="21" t="str">
        <x:v>Final UV layout</x:v>
      </x:c>
      <x:c r="F6" s="27" t="str">
        <x:v>Required</x:v>
      </x:c>
      <x:c r="G6" s="27" t="str">
        <x:v>P0</x:v>
      </x:c>
      <x:c r="H6" s="27" t="str">
        <x:v>Not Started</x:v>
      </x:c>
      <x:c r="I6" s="27" t="str">
        <x:v>Janfon</x:v>
      </x:c>
      <x:c r="J6" s="21" t="str">
        <x:v>Lossless source PNG/TGA plus compiled texture recipe input</x:v>
      </x:c>
      <x:c r="K6" s="21" t="str">
        <x:v>VT2 channel orientation and packed gloss verified; seams remain clean under mipmapping and 4K hero-view inspection.</x:v>
      </x:c>
      <x:c r="L6" s="21" t="str">
        <x:v>SRC-021: vt2-pusfume-1p/docs/MODEL_HANDOFF.md; SRC-028: vt2-pusfume-1p/tools/pusfume_atlas_layout.json</x:v>
      </x:c>
      <x:c r="M6" s="21" t="str"/>
    </x:row>
    <x:row r="7" ht="46" customHeight="1">
      <x:c r="A7" s="24" t="str">
        <x:v>TEX-003</x:v>
      </x:c>
      <x:c r="B7" s="21" t="str">
        <x:v>Texture set</x:v>
      </x:c>
      <x:c r="C7" s="21" t="str">
        <x:v>Body/skin: Specular / response</x:v>
      </x:c>
      <x:c r="D7" s="21" t="str">
        <x:v>Both</x:v>
      </x:c>
      <x:c r="E7" s="21" t="str">
        <x:v>Final UV layout</x:v>
      </x:c>
      <x:c r="F7" s="27" t="str">
        <x:v>Required</x:v>
      </x:c>
      <x:c r="G7" s="27" t="str">
        <x:v>P1</x:v>
      </x:c>
      <x:c r="H7" s="27" t="str">
        <x:v>Not Started</x:v>
      </x:c>
      <x:c r="I7" s="27" t="str">
        <x:v>Janfon</x:v>
      </x:c>
      <x:c r="J7" s="21" t="str">
        <x:v>Lossless source PNG/TGA plus compiled texture recipe input</x:v>
      </x:c>
      <x:c r="K7" s="21" t="str">
        <x:v>Material response separates skin, cloth, metal, tooth, and leather; seams remain clean under mipmapping and 4K hero-view inspection.</x:v>
      </x:c>
      <x:c r="L7" s="21" t="str">
        <x:v>SRC-021: vt2-pusfume-1p/docs/MODEL_HANDOFF.md; SRC-028: vt2-pusfume-1p/tools/pusfume_atlas_layout.json</x:v>
      </x:c>
      <x:c r="M7" s="21" t="str"/>
    </x:row>
    <x:row r="8" ht="46" customHeight="1">
      <x:c r="A8" s="24" t="str">
        <x:v>TEX-004</x:v>
      </x:c>
      <x:c r="B8" s="21" t="str">
        <x:v>Texture set</x:v>
      </x:c>
      <x:c r="C8" s="21" t="str">
        <x:v>Outfit cloth: Base color / diffuse</x:v>
      </x:c>
      <x:c r="D8" s="21" t="str">
        <x:v>Both</x:v>
      </x:c>
      <x:c r="E8" s="21" t="str">
        <x:v>Final UV layout</x:v>
      </x:c>
      <x:c r="F8" s="27" t="str">
        <x:v>Required</x:v>
      </x:c>
      <x:c r="G8" s="27" t="str">
        <x:v>P0</x:v>
      </x:c>
      <x:c r="H8" s="27" t="str">
        <x:v>Not Started</x:v>
      </x:c>
      <x:c r="I8" s="27" t="str">
        <x:v>Janfon</x:v>
      </x:c>
      <x:c r="J8" s="21" t="str">
        <x:v>Lossless source PNG/TGA plus compiled texture recipe input</x:v>
      </x:c>
      <x:c r="K8" s="21" t="str">
        <x:v>sRGB color, no baked lighting; seams remain clean under mipmapping and 4K hero-view inspection.</x:v>
      </x:c>
      <x:c r="L8" s="21" t="str">
        <x:v>SRC-021: vt2-pusfume-1p/docs/MODEL_HANDOFF.md; SRC-028: vt2-pusfume-1p/tools/pusfume_atlas_layout.json</x:v>
      </x:c>
      <x:c r="M8" s="21" t="str"/>
    </x:row>
    <x:row r="9" ht="46" customHeight="1">
      <x:c r="A9" s="24" t="str">
        <x:v>TEX-005</x:v>
      </x:c>
      <x:c r="B9" s="21" t="str">
        <x:v>Texture set</x:v>
      </x:c>
      <x:c r="C9" s="21" t="str">
        <x:v>Outfit cloth: Normal + gloss</x:v>
      </x:c>
      <x:c r="D9" s="21" t="str">
        <x:v>Both</x:v>
      </x:c>
      <x:c r="E9" s="21" t="str">
        <x:v>Final UV layout</x:v>
      </x:c>
      <x:c r="F9" s="27" t="str">
        <x:v>Required</x:v>
      </x:c>
      <x:c r="G9" s="27" t="str">
        <x:v>P0</x:v>
      </x:c>
      <x:c r="H9" s="27" t="str">
        <x:v>Not Started</x:v>
      </x:c>
      <x:c r="I9" s="27" t="str">
        <x:v>Janfon</x:v>
      </x:c>
      <x:c r="J9" s="21" t="str">
        <x:v>Lossless source PNG/TGA plus compiled texture recipe input</x:v>
      </x:c>
      <x:c r="K9" s="21" t="str">
        <x:v>VT2 channel orientation and packed gloss verified; seams remain clean under mipmapping and 4K hero-view inspection.</x:v>
      </x:c>
      <x:c r="L9" s="21" t="str">
        <x:v>SRC-021: vt2-pusfume-1p/docs/MODEL_HANDOFF.md; SRC-028: vt2-pusfume-1p/tools/pusfume_atlas_layout.json</x:v>
      </x:c>
      <x:c r="M9" s="21" t="str"/>
    </x:row>
    <x:row r="10" ht="46" customHeight="1">
      <x:c r="A10" s="24" t="str">
        <x:v>TEX-006</x:v>
      </x:c>
      <x:c r="B10" s="21" t="str">
        <x:v>Texture set</x:v>
      </x:c>
      <x:c r="C10" s="21" t="str">
        <x:v>Outfit cloth: Specular / response</x:v>
      </x:c>
      <x:c r="D10" s="21" t="str">
        <x:v>Both</x:v>
      </x:c>
      <x:c r="E10" s="21" t="str">
        <x:v>Final UV layout</x:v>
      </x:c>
      <x:c r="F10" s="27" t="str">
        <x:v>Required</x:v>
      </x:c>
      <x:c r="G10" s="27" t="str">
        <x:v>P1</x:v>
      </x:c>
      <x:c r="H10" s="27" t="str">
        <x:v>Not Started</x:v>
      </x:c>
      <x:c r="I10" s="27" t="str">
        <x:v>Janfon</x:v>
      </x:c>
      <x:c r="J10" s="21" t="str">
        <x:v>Lossless source PNG/TGA plus compiled texture recipe input</x:v>
      </x:c>
      <x:c r="K10" s="21" t="str">
        <x:v>Material response separates skin, cloth, metal, tooth, and leather; seams remain clean under mipmapping and 4K hero-view inspection.</x:v>
      </x:c>
      <x:c r="L10" s="21" t="str">
        <x:v>SRC-021: vt2-pusfume-1p/docs/MODEL_HANDOFF.md; SRC-028: vt2-pusfume-1p/tools/pusfume_atlas_layout.json</x:v>
      </x:c>
      <x:c r="M10" s="21" t="str"/>
    </x:row>
    <x:row r="11" ht="46" customHeight="1">
      <x:c r="A11" s="24" t="str">
        <x:v>TEX-007</x:v>
      </x:c>
      <x:c r="B11" s="21" t="str">
        <x:v>Texture set</x:v>
      </x:c>
      <x:c r="C11" s="21" t="str">
        <x:v>Outfit cloth: Opacity / cutout mask</x:v>
      </x:c>
      <x:c r="D11" s="21" t="str">
        <x:v>Both</x:v>
      </x:c>
      <x:c r="E11" s="21" t="str">
        <x:v>Final UV layout</x:v>
      </x:c>
      <x:c r="F11" s="27" t="str">
        <x:v>Conditional</x:v>
      </x:c>
      <x:c r="G11" s="27" t="str">
        <x:v>P1</x:v>
      </x:c>
      <x:c r="H11" s="27" t="str">
        <x:v>Not Started</x:v>
      </x:c>
      <x:c r="I11" s="27" t="str">
        <x:v>Janfon</x:v>
      </x:c>
      <x:c r="J11" s="21" t="str">
        <x:v>Lossless source PNG/TGA plus compiled texture recipe input</x:v>
      </x:c>
      <x:c r="K11" s="21" t="str">
        <x:v>Hard, clean coverage without gray fringe; seams remain clean under mipmapping and 4K hero-view inspection.</x:v>
      </x:c>
      <x:c r="L11" s="21" t="str">
        <x:v>SRC-021: vt2-pusfume-1p/docs/MODEL_HANDOFF.md; SRC-028: vt2-pusfume-1p/tools/pusfume_atlas_layout.json</x:v>
      </x:c>
      <x:c r="M11" s="21" t="str"/>
    </x:row>
    <x:row r="12" ht="46" customHeight="1">
      <x:c r="A12" s="24" t="str">
        <x:v>TEX-008</x:v>
      </x:c>
      <x:c r="B12" s="21" t="str">
        <x:v>Texture set</x:v>
      </x:c>
      <x:c r="C12" s="21" t="str">
        <x:v>Armor metal: Base color / diffuse</x:v>
      </x:c>
      <x:c r="D12" s="21" t="str">
        <x:v>Both</x:v>
      </x:c>
      <x:c r="E12" s="21" t="str">
        <x:v>Final UV layout</x:v>
      </x:c>
      <x:c r="F12" s="27" t="str">
        <x:v>Required</x:v>
      </x:c>
      <x:c r="G12" s="27" t="str">
        <x:v>P0</x:v>
      </x:c>
      <x:c r="H12" s="27" t="str">
        <x:v>Not Started</x:v>
      </x:c>
      <x:c r="I12" s="27" t="str">
        <x:v>Janfon</x:v>
      </x:c>
      <x:c r="J12" s="21" t="str">
        <x:v>Lossless source PNG/TGA plus compiled texture recipe input</x:v>
      </x:c>
      <x:c r="K12" s="21" t="str">
        <x:v>sRGB color, no baked lighting; seams remain clean under mipmapping and 4K hero-view inspection.</x:v>
      </x:c>
      <x:c r="L12" s="21" t="str">
        <x:v>SRC-021: vt2-pusfume-1p/docs/MODEL_HANDOFF.md; SRC-028: vt2-pusfume-1p/tools/pusfume_atlas_layout.json</x:v>
      </x:c>
      <x:c r="M12" s="21" t="str"/>
    </x:row>
    <x:row r="13" ht="46" customHeight="1">
      <x:c r="A13" s="24" t="str">
        <x:v>TEX-009</x:v>
      </x:c>
      <x:c r="B13" s="21" t="str">
        <x:v>Texture set</x:v>
      </x:c>
      <x:c r="C13" s="21" t="str">
        <x:v>Armor metal: Normal + gloss</x:v>
      </x:c>
      <x:c r="D13" s="21" t="str">
        <x:v>Both</x:v>
      </x:c>
      <x:c r="E13" s="21" t="str">
        <x:v>Final UV layout</x:v>
      </x:c>
      <x:c r="F13" s="27" t="str">
        <x:v>Required</x:v>
      </x:c>
      <x:c r="G13" s="27" t="str">
        <x:v>P0</x:v>
      </x:c>
      <x:c r="H13" s="27" t="str">
        <x:v>Not Started</x:v>
      </x:c>
      <x:c r="I13" s="27" t="str">
        <x:v>Janfon</x:v>
      </x:c>
      <x:c r="J13" s="21" t="str">
        <x:v>Lossless source PNG/TGA plus compiled texture recipe input</x:v>
      </x:c>
      <x:c r="K13" s="21" t="str">
        <x:v>VT2 channel orientation and packed gloss verified; seams remain clean under mipmapping and 4K hero-view inspection.</x:v>
      </x:c>
      <x:c r="L13" s="21" t="str">
        <x:v>SRC-021: vt2-pusfume-1p/docs/MODEL_HANDOFF.md; SRC-028: vt2-pusfume-1p/tools/pusfume_atlas_layout.json</x:v>
      </x:c>
      <x:c r="M13" s="21" t="str"/>
    </x:row>
    <x:row r="14" ht="46" customHeight="1">
      <x:c r="A14" s="24" t="str">
        <x:v>TEX-010</x:v>
      </x:c>
      <x:c r="B14" s="21" t="str">
        <x:v>Texture set</x:v>
      </x:c>
      <x:c r="C14" s="21" t="str">
        <x:v>Armor metal: Specular / response</x:v>
      </x:c>
      <x:c r="D14" s="21" t="str">
        <x:v>Both</x:v>
      </x:c>
      <x:c r="E14" s="21" t="str">
        <x:v>Final UV layout</x:v>
      </x:c>
      <x:c r="F14" s="27" t="str">
        <x:v>Required</x:v>
      </x:c>
      <x:c r="G14" s="27" t="str">
        <x:v>P1</x:v>
      </x:c>
      <x:c r="H14" s="27" t="str">
        <x:v>Not Started</x:v>
      </x:c>
      <x:c r="I14" s="27" t="str">
        <x:v>Janfon</x:v>
      </x:c>
      <x:c r="J14" s="21" t="str">
        <x:v>Lossless source PNG/TGA plus compiled texture recipe input</x:v>
      </x:c>
      <x:c r="K14" s="21" t="str">
        <x:v>Material response separates skin, cloth, metal, tooth, and leather; seams remain clean under mipmapping and 4K hero-view inspection.</x:v>
      </x:c>
      <x:c r="L14" s="21" t="str">
        <x:v>SRC-021: vt2-pusfume-1p/docs/MODEL_HANDOFF.md; SRC-028: vt2-pusfume-1p/tools/pusfume_atlas_layout.json</x:v>
      </x:c>
      <x:c r="M14" s="21" t="str"/>
    </x:row>
    <x:row r="15" ht="46" customHeight="1">
      <x:c r="A15" s="24" t="str">
        <x:v>TEX-011</x:v>
      </x:c>
      <x:c r="B15" s="21" t="str">
        <x:v>Texture set</x:v>
      </x:c>
      <x:c r="C15" s="21" t="str">
        <x:v>Globadier equipment: Base color / diffuse</x:v>
      </x:c>
      <x:c r="D15" s="21" t="str">
        <x:v>Both</x:v>
      </x:c>
      <x:c r="E15" s="21" t="str">
        <x:v>Final UV layout</x:v>
      </x:c>
      <x:c r="F15" s="27" t="str">
        <x:v>Required</x:v>
      </x:c>
      <x:c r="G15" s="27" t="str">
        <x:v>P0</x:v>
      </x:c>
      <x:c r="H15" s="27" t="str">
        <x:v>Not Started</x:v>
      </x:c>
      <x:c r="I15" s="27" t="str">
        <x:v>Janfon</x:v>
      </x:c>
      <x:c r="J15" s="21" t="str">
        <x:v>Lossless source PNG/TGA plus compiled texture recipe input</x:v>
      </x:c>
      <x:c r="K15" s="21" t="str">
        <x:v>sRGB color, no baked lighting; seams remain clean under mipmapping and 4K hero-view inspection.</x:v>
      </x:c>
      <x:c r="L15" s="21" t="str">
        <x:v>SRC-021: vt2-pusfume-1p/docs/MODEL_HANDOFF.md; SRC-028: vt2-pusfume-1p/tools/pusfume_atlas_layout.json</x:v>
      </x:c>
      <x:c r="M15" s="21" t="str"/>
    </x:row>
    <x:row r="16" ht="46" customHeight="1">
      <x:c r="A16" s="24" t="str">
        <x:v>TEX-012</x:v>
      </x:c>
      <x:c r="B16" s="21" t="str">
        <x:v>Texture set</x:v>
      </x:c>
      <x:c r="C16" s="21" t="str">
        <x:v>Globadier equipment: Normal + gloss</x:v>
      </x:c>
      <x:c r="D16" s="21" t="str">
        <x:v>Both</x:v>
      </x:c>
      <x:c r="E16" s="21" t="str">
        <x:v>Final UV layout</x:v>
      </x:c>
      <x:c r="F16" s="27" t="str">
        <x:v>Required</x:v>
      </x:c>
      <x:c r="G16" s="27" t="str">
        <x:v>P0</x:v>
      </x:c>
      <x:c r="H16" s="27" t="str">
        <x:v>Not Started</x:v>
      </x:c>
      <x:c r="I16" s="27" t="str">
        <x:v>Janfon</x:v>
      </x:c>
      <x:c r="J16" s="21" t="str">
        <x:v>Lossless source PNG/TGA plus compiled texture recipe input</x:v>
      </x:c>
      <x:c r="K16" s="21" t="str">
        <x:v>VT2 channel orientation and packed gloss verified; seams remain clean under mipmapping and 4K hero-view inspection.</x:v>
      </x:c>
      <x:c r="L16" s="21" t="str">
        <x:v>SRC-021: vt2-pusfume-1p/docs/MODEL_HANDOFF.md; SRC-028: vt2-pusfume-1p/tools/pusfume_atlas_layout.json</x:v>
      </x:c>
      <x:c r="M16" s="21" t="str"/>
    </x:row>
    <x:row r="17" ht="46" customHeight="1">
      <x:c r="A17" s="24" t="str">
        <x:v>TEX-013</x:v>
      </x:c>
      <x:c r="B17" s="21" t="str">
        <x:v>Texture set</x:v>
      </x:c>
      <x:c r="C17" s="21" t="str">
        <x:v>Globadier equipment: Specular / response</x:v>
      </x:c>
      <x:c r="D17" s="21" t="str">
        <x:v>Both</x:v>
      </x:c>
      <x:c r="E17" s="21" t="str">
        <x:v>Final UV layout</x:v>
      </x:c>
      <x:c r="F17" s="27" t="str">
        <x:v>Required</x:v>
      </x:c>
      <x:c r="G17" s="27" t="str">
        <x:v>P1</x:v>
      </x:c>
      <x:c r="H17" s="27" t="str">
        <x:v>Not Started</x:v>
      </x:c>
      <x:c r="I17" s="27" t="str">
        <x:v>Janfon</x:v>
      </x:c>
      <x:c r="J17" s="21" t="str">
        <x:v>Lossless source PNG/TGA plus compiled texture recipe input</x:v>
      </x:c>
      <x:c r="K17" s="21" t="str">
        <x:v>Material response separates skin, cloth, metal, tooth, and leather; seams remain clean under mipmapping and 4K hero-view inspection.</x:v>
      </x:c>
      <x:c r="L17" s="21" t="str">
        <x:v>SRC-021: vt2-pusfume-1p/docs/MODEL_HANDOFF.md; SRC-028: vt2-pusfume-1p/tools/pusfume_atlas_layout.json</x:v>
      </x:c>
      <x:c r="M17" s="21" t="str"/>
    </x:row>
    <x:row r="18" ht="46" customHeight="1">
      <x:c r="A18" s="24" t="str">
        <x:v>TEX-014</x:v>
      </x:c>
      <x:c r="B18" s="21" t="str">
        <x:v>Texture set</x:v>
      </x:c>
      <x:c r="C18" s="21" t="str">
        <x:v>Globadier equipment: Emissive / mask</x:v>
      </x:c>
      <x:c r="D18" s="21" t="str">
        <x:v>Both</x:v>
      </x:c>
      <x:c r="E18" s="21" t="str">
        <x:v>Final UV layout</x:v>
      </x:c>
      <x:c r="F18" s="27" t="str">
        <x:v>Conditional</x:v>
      </x:c>
      <x:c r="G18" s="27" t="str">
        <x:v>P1</x:v>
      </x:c>
      <x:c r="H18" s="27" t="str">
        <x:v>Not Started</x:v>
      </x:c>
      <x:c r="I18" s="27" t="str">
        <x:v>Janfon</x:v>
      </x:c>
      <x:c r="J18" s="21" t="str">
        <x:v>Lossless source PNG/TGA plus compiled texture recipe input</x:v>
      </x:c>
      <x:c r="K18" s="21" t="str">
        <x:v>Black where unused; eyes/gas only where intentional; seams remain clean under mipmapping and 4K hero-view inspection.</x:v>
      </x:c>
      <x:c r="L18" s="21" t="str">
        <x:v>SRC-021: vt2-pusfume-1p/docs/MODEL_HANDOFF.md; SRC-028: vt2-pusfume-1p/tools/pusfume_atlas_layout.json</x:v>
      </x:c>
      <x:c r="M18" s="21" t="str"/>
    </x:row>
    <x:row r="19" ht="46" customHeight="1">
      <x:c r="A19" s="24" t="str">
        <x:v>TEX-015</x:v>
      </x:c>
      <x:c r="B19" s="21" t="str">
        <x:v>Texture set</x:v>
      </x:c>
      <x:c r="C19" s="21" t="str">
        <x:v>Ammo box A: Base color / diffuse</x:v>
      </x:c>
      <x:c r="D19" s="21" t="str">
        <x:v>Both</x:v>
      </x:c>
      <x:c r="E19" s="21" t="str">
        <x:v>Final UV layout</x:v>
      </x:c>
      <x:c r="F19" s="27" t="str">
        <x:v>Required</x:v>
      </x:c>
      <x:c r="G19" s="27" t="str">
        <x:v>P0</x:v>
      </x:c>
      <x:c r="H19" s="27" t="str">
        <x:v>Not Started</x:v>
      </x:c>
      <x:c r="I19" s="27" t="str">
        <x:v>Janfon</x:v>
      </x:c>
      <x:c r="J19" s="21" t="str">
        <x:v>Lossless source PNG/TGA plus compiled texture recipe input</x:v>
      </x:c>
      <x:c r="K19" s="21" t="str">
        <x:v>sRGB color, no baked lighting; seams remain clean under mipmapping and 4K hero-view inspection.</x:v>
      </x:c>
      <x:c r="L19" s="21" t="str">
        <x:v>SRC-021: vt2-pusfume-1p/docs/MODEL_HANDOFF.md; SRC-028: vt2-pusfume-1p/tools/pusfume_atlas_layout.json</x:v>
      </x:c>
      <x:c r="M19" s="21" t="str"/>
    </x:row>
    <x:row r="20" ht="46" customHeight="1">
      <x:c r="A20" s="24" t="str">
        <x:v>TEX-016</x:v>
      </x:c>
      <x:c r="B20" s="21" t="str">
        <x:v>Texture set</x:v>
      </x:c>
      <x:c r="C20" s="21" t="str">
        <x:v>Ammo box A: Normal + gloss</x:v>
      </x:c>
      <x:c r="D20" s="21" t="str">
        <x:v>Both</x:v>
      </x:c>
      <x:c r="E20" s="21" t="str">
        <x:v>Final UV layout</x:v>
      </x:c>
      <x:c r="F20" s="27" t="str">
        <x:v>Required</x:v>
      </x:c>
      <x:c r="G20" s="27" t="str">
        <x:v>P0</x:v>
      </x:c>
      <x:c r="H20" s="27" t="str">
        <x:v>Not Started</x:v>
      </x:c>
      <x:c r="I20" s="27" t="str">
        <x:v>Janfon</x:v>
      </x:c>
      <x:c r="J20" s="21" t="str">
        <x:v>Lossless source PNG/TGA plus compiled texture recipe input</x:v>
      </x:c>
      <x:c r="K20" s="21" t="str">
        <x:v>VT2 channel orientation and packed gloss verified; seams remain clean under mipmapping and 4K hero-view inspection.</x:v>
      </x:c>
      <x:c r="L20" s="21" t="str">
        <x:v>SRC-021: vt2-pusfume-1p/docs/MODEL_HANDOFF.md; SRC-028: vt2-pusfume-1p/tools/pusfume_atlas_layout.json</x:v>
      </x:c>
      <x:c r="M20" s="21" t="str"/>
    </x:row>
    <x:row r="21" ht="46" customHeight="1">
      <x:c r="A21" s="24" t="str">
        <x:v>TEX-017</x:v>
      </x:c>
      <x:c r="B21" s="21" t="str">
        <x:v>Texture set</x:v>
      </x:c>
      <x:c r="C21" s="21" t="str">
        <x:v>Ammo box A: Specular / response</x:v>
      </x:c>
      <x:c r="D21" s="21" t="str">
        <x:v>Both</x:v>
      </x:c>
      <x:c r="E21" s="21" t="str">
        <x:v>Final UV layout</x:v>
      </x:c>
      <x:c r="F21" s="27" t="str">
        <x:v>Required</x:v>
      </x:c>
      <x:c r="G21" s="27" t="str">
        <x:v>P1</x:v>
      </x:c>
      <x:c r="H21" s="27" t="str">
        <x:v>Not Started</x:v>
      </x:c>
      <x:c r="I21" s="27" t="str">
        <x:v>Janfon</x:v>
      </x:c>
      <x:c r="J21" s="21" t="str">
        <x:v>Lossless source PNG/TGA plus compiled texture recipe input</x:v>
      </x:c>
      <x:c r="K21" s="21" t="str">
        <x:v>Material response separates skin, cloth, metal, tooth, and leather; seams remain clean under mipmapping and 4K hero-view inspection.</x:v>
      </x:c>
      <x:c r="L21" s="21" t="str">
        <x:v>SRC-021: vt2-pusfume-1p/docs/MODEL_HANDOFF.md; SRC-028: vt2-pusfume-1p/tools/pusfume_atlas_layout.json</x:v>
      </x:c>
      <x:c r="M21" s="21" t="str"/>
    </x:row>
    <x:row r="22" ht="46" customHeight="1">
      <x:c r="A22" s="24" t="str">
        <x:v>TEX-018</x:v>
      </x:c>
      <x:c r="B22" s="21" t="str">
        <x:v>Texture set</x:v>
      </x:c>
      <x:c r="C22" s="21" t="str">
        <x:v>Ammo box B: Base color / diffuse</x:v>
      </x:c>
      <x:c r="D22" s="21" t="str">
        <x:v>Both</x:v>
      </x:c>
      <x:c r="E22" s="21" t="str">
        <x:v>Final UV layout</x:v>
      </x:c>
      <x:c r="F22" s="27" t="str">
        <x:v>Required</x:v>
      </x:c>
      <x:c r="G22" s="27" t="str">
        <x:v>P0</x:v>
      </x:c>
      <x:c r="H22" s="27" t="str">
        <x:v>Not Started</x:v>
      </x:c>
      <x:c r="I22" s="27" t="str">
        <x:v>Janfon</x:v>
      </x:c>
      <x:c r="J22" s="21" t="str">
        <x:v>Lossless source PNG/TGA plus compiled texture recipe input</x:v>
      </x:c>
      <x:c r="K22" s="21" t="str">
        <x:v>sRGB color, no baked lighting; seams remain clean under mipmapping and 4K hero-view inspection.</x:v>
      </x:c>
      <x:c r="L22" s="21" t="str">
        <x:v>SRC-021: vt2-pusfume-1p/docs/MODEL_HANDOFF.md; SRC-028: vt2-pusfume-1p/tools/pusfume_atlas_layout.json</x:v>
      </x:c>
      <x:c r="M22" s="21" t="str"/>
    </x:row>
    <x:row r="23" ht="46" customHeight="1">
      <x:c r="A23" s="24" t="str">
        <x:v>TEX-019</x:v>
      </x:c>
      <x:c r="B23" s="21" t="str">
        <x:v>Texture set</x:v>
      </x:c>
      <x:c r="C23" s="21" t="str">
        <x:v>Ammo box B: Normal + gloss</x:v>
      </x:c>
      <x:c r="D23" s="21" t="str">
        <x:v>Both</x:v>
      </x:c>
      <x:c r="E23" s="21" t="str">
        <x:v>Final UV layout</x:v>
      </x:c>
      <x:c r="F23" s="27" t="str">
        <x:v>Required</x:v>
      </x:c>
      <x:c r="G23" s="27" t="str">
        <x:v>P0</x:v>
      </x:c>
      <x:c r="H23" s="27" t="str">
        <x:v>Not Started</x:v>
      </x:c>
      <x:c r="I23" s="27" t="str">
        <x:v>Janfon</x:v>
      </x:c>
      <x:c r="J23" s="21" t="str">
        <x:v>Lossless source PNG/TGA plus compiled texture recipe input</x:v>
      </x:c>
      <x:c r="K23" s="21" t="str">
        <x:v>VT2 channel orientation and packed gloss verified; seams remain clean under mipmapping and 4K hero-view inspection.</x:v>
      </x:c>
      <x:c r="L23" s="21" t="str">
        <x:v>SRC-021: vt2-pusfume-1p/docs/MODEL_HANDOFF.md; SRC-028: vt2-pusfume-1p/tools/pusfume_atlas_layout.json</x:v>
      </x:c>
      <x:c r="M23" s="21" t="str"/>
    </x:row>
    <x:row r="24" ht="46" customHeight="1">
      <x:c r="A24" s="24" t="str">
        <x:v>TEX-020</x:v>
      </x:c>
      <x:c r="B24" s="21" t="str">
        <x:v>Texture set</x:v>
      </x:c>
      <x:c r="C24" s="21" t="str">
        <x:v>Ammo box B: Specular / response</x:v>
      </x:c>
      <x:c r="D24" s="21" t="str">
        <x:v>Both</x:v>
      </x:c>
      <x:c r="E24" s="21" t="str">
        <x:v>Final UV layout</x:v>
      </x:c>
      <x:c r="F24" s="27" t="str">
        <x:v>Required</x:v>
      </x:c>
      <x:c r="G24" s="27" t="str">
        <x:v>P1</x:v>
      </x:c>
      <x:c r="H24" s="27" t="str">
        <x:v>Not Started</x:v>
      </x:c>
      <x:c r="I24" s="27" t="str">
        <x:v>Janfon</x:v>
      </x:c>
      <x:c r="J24" s="21" t="str">
        <x:v>Lossless source PNG/TGA plus compiled texture recipe input</x:v>
      </x:c>
      <x:c r="K24" s="21" t="str">
        <x:v>Material response separates skin, cloth, metal, tooth, and leather; seams remain clean under mipmapping and 4K hero-view inspection.</x:v>
      </x:c>
      <x:c r="L24" s="21" t="str">
        <x:v>SRC-021: vt2-pusfume-1p/docs/MODEL_HANDOFF.md; SRC-028: vt2-pusfume-1p/tools/pusfume_atlas_layout.json</x:v>
      </x:c>
      <x:c r="M24" s="21" t="str"/>
    </x:row>
    <x:row r="25" ht="46" customHeight="1">
      <x:c r="A25" s="24" t="str">
        <x:v>TEX-021</x:v>
      </x:c>
      <x:c r="B25" s="21" t="str">
        <x:v>Texture set</x:v>
      </x:c>
      <x:c r="C25" s="21" t="str">
        <x:v>Eyes: Base color / diffuse</x:v>
      </x:c>
      <x:c r="D25" s="21" t="str">
        <x:v>Both</x:v>
      </x:c>
      <x:c r="E25" s="21" t="str">
        <x:v>Final UV layout</x:v>
      </x:c>
      <x:c r="F25" s="27" t="str">
        <x:v>Required</x:v>
      </x:c>
      <x:c r="G25" s="27" t="str">
        <x:v>P0</x:v>
      </x:c>
      <x:c r="H25" s="27" t="str">
        <x:v>Not Started</x:v>
      </x:c>
      <x:c r="I25" s="27" t="str">
        <x:v>Janfon</x:v>
      </x:c>
      <x:c r="J25" s="21" t="str">
        <x:v>Lossless source PNG/TGA plus compiled texture recipe input</x:v>
      </x:c>
      <x:c r="K25" s="21" t="str">
        <x:v>sRGB color, no baked lighting; seams remain clean under mipmapping and 4K hero-view inspection.</x:v>
      </x:c>
      <x:c r="L25" s="21" t="str">
        <x:v>SRC-021: vt2-pusfume-1p/docs/MODEL_HANDOFF.md; SRC-028: vt2-pusfume-1p/tools/pusfume_atlas_layout.json</x:v>
      </x:c>
      <x:c r="M25" s="21" t="str"/>
    </x:row>
    <x:row r="26" ht="46" customHeight="1">
      <x:c r="A26" s="24" t="str">
        <x:v>TEX-022</x:v>
      </x:c>
      <x:c r="B26" s="21" t="str">
        <x:v>Texture set</x:v>
      </x:c>
      <x:c r="C26" s="21" t="str">
        <x:v>Eyes: Normal + gloss</x:v>
      </x:c>
      <x:c r="D26" s="21" t="str">
        <x:v>Both</x:v>
      </x:c>
      <x:c r="E26" s="21" t="str">
        <x:v>Final UV layout</x:v>
      </x:c>
      <x:c r="F26" s="27" t="str">
        <x:v>Required</x:v>
      </x:c>
      <x:c r="G26" s="27" t="str">
        <x:v>P0</x:v>
      </x:c>
      <x:c r="H26" s="27" t="str">
        <x:v>Not Started</x:v>
      </x:c>
      <x:c r="I26" s="27" t="str">
        <x:v>Janfon</x:v>
      </x:c>
      <x:c r="J26" s="21" t="str">
        <x:v>Lossless source PNG/TGA plus compiled texture recipe input</x:v>
      </x:c>
      <x:c r="K26" s="21" t="str">
        <x:v>VT2 channel orientation and packed gloss verified; seams remain clean under mipmapping and 4K hero-view inspection.</x:v>
      </x:c>
      <x:c r="L26" s="21" t="str">
        <x:v>SRC-021: vt2-pusfume-1p/docs/MODEL_HANDOFF.md; SRC-028: vt2-pusfume-1p/tools/pusfume_atlas_layout.json</x:v>
      </x:c>
      <x:c r="M26" s="21" t="str"/>
    </x:row>
    <x:row r="27" ht="46" customHeight="1">
      <x:c r="A27" s="24" t="str">
        <x:v>TEX-023</x:v>
      </x:c>
      <x:c r="B27" s="21" t="str">
        <x:v>Texture set</x:v>
      </x:c>
      <x:c r="C27" s="21" t="str">
        <x:v>Eyes: Specular / response</x:v>
      </x:c>
      <x:c r="D27" s="21" t="str">
        <x:v>Both</x:v>
      </x:c>
      <x:c r="E27" s="21" t="str">
        <x:v>Final UV layout</x:v>
      </x:c>
      <x:c r="F27" s="27" t="str">
        <x:v>Required</x:v>
      </x:c>
      <x:c r="G27" s="27" t="str">
        <x:v>P1</x:v>
      </x:c>
      <x:c r="H27" s="27" t="str">
        <x:v>Not Started</x:v>
      </x:c>
      <x:c r="I27" s="27" t="str">
        <x:v>Janfon</x:v>
      </x:c>
      <x:c r="J27" s="21" t="str">
        <x:v>Lossless source PNG/TGA plus compiled texture recipe input</x:v>
      </x:c>
      <x:c r="K27" s="21" t="str">
        <x:v>Material response separates skin, cloth, metal, tooth, and leather; seams remain clean under mipmapping and 4K hero-view inspection.</x:v>
      </x:c>
      <x:c r="L27" s="21" t="str">
        <x:v>SRC-021: vt2-pusfume-1p/docs/MODEL_HANDOFF.md; SRC-028: vt2-pusfume-1p/tools/pusfume_atlas_layout.json</x:v>
      </x:c>
      <x:c r="M27" s="21" t="str"/>
    </x:row>
    <x:row r="28" ht="46" customHeight="1">
      <x:c r="A28" s="24" t="str">
        <x:v>TEX-024</x:v>
      </x:c>
      <x:c r="B28" s="21" t="str">
        <x:v>Texture set</x:v>
      </x:c>
      <x:c r="C28" s="21" t="str">
        <x:v>Eyes: Emissive / mask</x:v>
      </x:c>
      <x:c r="D28" s="21" t="str">
        <x:v>Both</x:v>
      </x:c>
      <x:c r="E28" s="21" t="str">
        <x:v>Final UV layout</x:v>
      </x:c>
      <x:c r="F28" s="27" t="str">
        <x:v>Conditional</x:v>
      </x:c>
      <x:c r="G28" s="27" t="str">
        <x:v>P1</x:v>
      </x:c>
      <x:c r="H28" s="27" t="str">
        <x:v>Not Started</x:v>
      </x:c>
      <x:c r="I28" s="27" t="str">
        <x:v>Janfon</x:v>
      </x:c>
      <x:c r="J28" s="21" t="str">
        <x:v>Lossless source PNG/TGA plus compiled texture recipe input</x:v>
      </x:c>
      <x:c r="K28" s="21" t="str">
        <x:v>Black where unused; eyes/gas only where intentional; seams remain clean under mipmapping and 4K hero-view inspection.</x:v>
      </x:c>
      <x:c r="L28" s="21" t="str">
        <x:v>SRC-021: vt2-pusfume-1p/docs/MODEL_HANDOFF.md; SRC-028: vt2-pusfume-1p/tools/pusfume_atlas_layout.json</x:v>
      </x:c>
      <x:c r="M28" s="21" t="str"/>
    </x:row>
    <x:row r="29" ht="46" customHeight="1">
      <x:c r="A29" s="24" t="str">
        <x:v>TEX-025</x:v>
      </x:c>
      <x:c r="B29" s="21" t="str">
        <x:v>Texture set</x:v>
      </x:c>
      <x:c r="C29" s="21" t="str">
        <x:v>Teeth/mouth: Base color / diffuse</x:v>
      </x:c>
      <x:c r="D29" s="21" t="str">
        <x:v>Both</x:v>
      </x:c>
      <x:c r="E29" s="21" t="str">
        <x:v>Final UV layout</x:v>
      </x:c>
      <x:c r="F29" s="27" t="str">
        <x:v>Required</x:v>
      </x:c>
      <x:c r="G29" s="27" t="str">
        <x:v>P0</x:v>
      </x:c>
      <x:c r="H29" s="27" t="str">
        <x:v>Not Started</x:v>
      </x:c>
      <x:c r="I29" s="27" t="str">
        <x:v>Janfon</x:v>
      </x:c>
      <x:c r="J29" s="21" t="str">
        <x:v>Lossless source PNG/TGA plus compiled texture recipe input</x:v>
      </x:c>
      <x:c r="K29" s="21" t="str">
        <x:v>sRGB color, no baked lighting; seams remain clean under mipmapping and 4K hero-view inspection.</x:v>
      </x:c>
      <x:c r="L29" s="21" t="str">
        <x:v>SRC-021: vt2-pusfume-1p/docs/MODEL_HANDOFF.md; SRC-028: vt2-pusfume-1p/tools/pusfume_atlas_layout.json</x:v>
      </x:c>
      <x:c r="M29" s="21" t="str"/>
    </x:row>
    <x:row r="30" ht="46" customHeight="1">
      <x:c r="A30" s="24" t="str">
        <x:v>TEX-026</x:v>
      </x:c>
      <x:c r="B30" s="21" t="str">
        <x:v>Texture set</x:v>
      </x:c>
      <x:c r="C30" s="21" t="str">
        <x:v>Teeth/mouth: Normal + gloss</x:v>
      </x:c>
      <x:c r="D30" s="21" t="str">
        <x:v>Both</x:v>
      </x:c>
      <x:c r="E30" s="21" t="str">
        <x:v>Final UV layout</x:v>
      </x:c>
      <x:c r="F30" s="27" t="str">
        <x:v>Required</x:v>
      </x:c>
      <x:c r="G30" s="27" t="str">
        <x:v>P0</x:v>
      </x:c>
      <x:c r="H30" s="27" t="str">
        <x:v>Not Started</x:v>
      </x:c>
      <x:c r="I30" s="27" t="str">
        <x:v>Janfon</x:v>
      </x:c>
      <x:c r="J30" s="21" t="str">
        <x:v>Lossless source PNG/TGA plus compiled texture recipe input</x:v>
      </x:c>
      <x:c r="K30" s="21" t="str">
        <x:v>VT2 channel orientation and packed gloss verified; seams remain clean under mipmapping and 4K hero-view inspection.</x:v>
      </x:c>
      <x:c r="L30" s="21" t="str">
        <x:v>SRC-021: vt2-pusfume-1p/docs/MODEL_HANDOFF.md; SRC-028: vt2-pusfume-1p/tools/pusfume_atlas_layout.json</x:v>
      </x:c>
      <x:c r="M30" s="21" t="str"/>
    </x:row>
    <x:row r="31" ht="46" customHeight="1">
      <x:c r="A31" s="24" t="str">
        <x:v>TEX-027</x:v>
      </x:c>
      <x:c r="B31" s="21" t="str">
        <x:v>Texture set</x:v>
      </x:c>
      <x:c r="C31" s="21" t="str">
        <x:v>Teeth/mouth: Specular / response</x:v>
      </x:c>
      <x:c r="D31" s="21" t="str">
        <x:v>Both</x:v>
      </x:c>
      <x:c r="E31" s="21" t="str">
        <x:v>Final UV layout</x:v>
      </x:c>
      <x:c r="F31" s="27" t="str">
        <x:v>Required</x:v>
      </x:c>
      <x:c r="G31" s="27" t="str">
        <x:v>P1</x:v>
      </x:c>
      <x:c r="H31" s="27" t="str">
        <x:v>Not Started</x:v>
      </x:c>
      <x:c r="I31" s="27" t="str">
        <x:v>Janfon</x:v>
      </x:c>
      <x:c r="J31" s="21" t="str">
        <x:v>Lossless source PNG/TGA plus compiled texture recipe input</x:v>
      </x:c>
      <x:c r="K31" s="21" t="str">
        <x:v>Material response separates skin, cloth, metal, tooth, and leather; seams remain clean under mipmapping and 4K hero-view inspection.</x:v>
      </x:c>
      <x:c r="L31" s="21" t="str">
        <x:v>SRC-021: vt2-pusfume-1p/docs/MODEL_HANDOFF.md; SRC-028: vt2-pusfume-1p/tools/pusfume_atlas_layout.json</x:v>
      </x:c>
      <x:c r="M31" s="21" t="str"/>
    </x:row>
    <x:row r="32" ht="46" customHeight="1">
      <x:c r="A32" s="24" t="str">
        <x:v>TEX-028</x:v>
      </x:c>
      <x:c r="B32" s="21" t="str">
        <x:v>Texture set</x:v>
      </x:c>
      <x:c r="C32" s="21" t="str">
        <x:v>Claws: Base color / diffuse</x:v>
      </x:c>
      <x:c r="D32" s="21" t="str">
        <x:v>Both</x:v>
      </x:c>
      <x:c r="E32" s="21" t="str">
        <x:v>Final UV layout</x:v>
      </x:c>
      <x:c r="F32" s="27" t="str">
        <x:v>Required</x:v>
      </x:c>
      <x:c r="G32" s="27" t="str">
        <x:v>P0</x:v>
      </x:c>
      <x:c r="H32" s="27" t="str">
        <x:v>Not Started</x:v>
      </x:c>
      <x:c r="I32" s="27" t="str">
        <x:v>Janfon</x:v>
      </x:c>
      <x:c r="J32" s="21" t="str">
        <x:v>Lossless source PNG/TGA plus compiled texture recipe input</x:v>
      </x:c>
      <x:c r="K32" s="21" t="str">
        <x:v>sRGB color, no baked lighting; seams remain clean under mipmapping and 4K hero-view inspection.</x:v>
      </x:c>
      <x:c r="L32" s="21" t="str">
        <x:v>SRC-021: vt2-pusfume-1p/docs/MODEL_HANDOFF.md; SRC-028: vt2-pusfume-1p/tools/pusfume_atlas_layout.json</x:v>
      </x:c>
      <x:c r="M32" s="21" t="str"/>
    </x:row>
    <x:row r="33" ht="46" customHeight="1">
      <x:c r="A33" s="24" t="str">
        <x:v>TEX-029</x:v>
      </x:c>
      <x:c r="B33" s="21" t="str">
        <x:v>Texture set</x:v>
      </x:c>
      <x:c r="C33" s="21" t="str">
        <x:v>Claws: Normal + gloss</x:v>
      </x:c>
      <x:c r="D33" s="21" t="str">
        <x:v>Both</x:v>
      </x:c>
      <x:c r="E33" s="21" t="str">
        <x:v>Final UV layout</x:v>
      </x:c>
      <x:c r="F33" s="27" t="str">
        <x:v>Required</x:v>
      </x:c>
      <x:c r="G33" s="27" t="str">
        <x:v>P0</x:v>
      </x:c>
      <x:c r="H33" s="27" t="str">
        <x:v>Not Started</x:v>
      </x:c>
      <x:c r="I33" s="27" t="str">
        <x:v>Janfon</x:v>
      </x:c>
      <x:c r="J33" s="21" t="str">
        <x:v>Lossless source PNG/TGA plus compiled texture recipe input</x:v>
      </x:c>
      <x:c r="K33" s="21" t="str">
        <x:v>VT2 channel orientation and packed gloss verified; seams remain clean under mipmapping and 4K hero-view inspection.</x:v>
      </x:c>
      <x:c r="L33" s="21" t="str">
        <x:v>SRC-021: vt2-pusfume-1p/docs/MODEL_HANDOFF.md; SRC-028: vt2-pusfume-1p/tools/pusfume_atlas_layout.json</x:v>
      </x:c>
      <x:c r="M33" s="21" t="str"/>
    </x:row>
    <x:row r="34" ht="46" customHeight="1">
      <x:c r="A34" s="24" t="str">
        <x:v>TEX-030</x:v>
      </x:c>
      <x:c r="B34" s="21" t="str">
        <x:v>Texture set</x:v>
      </x:c>
      <x:c r="C34" s="21" t="str">
        <x:v>Claws: Specular / response</x:v>
      </x:c>
      <x:c r="D34" s="21" t="str">
        <x:v>Both</x:v>
      </x:c>
      <x:c r="E34" s="21" t="str">
        <x:v>Final UV layout</x:v>
      </x:c>
      <x:c r="F34" s="27" t="str">
        <x:v>Required</x:v>
      </x:c>
      <x:c r="G34" s="27" t="str">
        <x:v>P1</x:v>
      </x:c>
      <x:c r="H34" s="27" t="str">
        <x:v>Not Started</x:v>
      </x:c>
      <x:c r="I34" s="27" t="str">
        <x:v>Janfon</x:v>
      </x:c>
      <x:c r="J34" s="21" t="str">
        <x:v>Lossless source PNG/TGA plus compiled texture recipe input</x:v>
      </x:c>
      <x:c r="K34" s="21" t="str">
        <x:v>Material response separates skin, cloth, metal, tooth, and leather; seams remain clean under mipmapping and 4K hero-view inspection.</x:v>
      </x:c>
      <x:c r="L34" s="21" t="str">
        <x:v>SRC-021: vt2-pusfume-1p/docs/MODEL_HANDOFF.md; SRC-028: vt2-pusfume-1p/tools/pusfume_atlas_layout.json</x:v>
      </x:c>
      <x:c r="M34" s="21" t="str"/>
    </x:row>
    <x:row r="35" ht="46" customHeight="1">
      <x:c r="A35" s="24" t="str">
        <x:v>TEX-031</x:v>
      </x:c>
      <x:c r="B35" s="21" t="str">
        <x:v>Texture set</x:v>
      </x:c>
      <x:c r="C35" s="21" t="str">
        <x:v>Tail: Base color / diffuse</x:v>
      </x:c>
      <x:c r="D35" s="21" t="str">
        <x:v>Both</x:v>
      </x:c>
      <x:c r="E35" s="21" t="str">
        <x:v>Final UV layout</x:v>
      </x:c>
      <x:c r="F35" s="27" t="str">
        <x:v>Required</x:v>
      </x:c>
      <x:c r="G35" s="27" t="str">
        <x:v>P0</x:v>
      </x:c>
      <x:c r="H35" s="27" t="str">
        <x:v>Not Started</x:v>
      </x:c>
      <x:c r="I35" s="27" t="str">
        <x:v>Janfon</x:v>
      </x:c>
      <x:c r="J35" s="21" t="str">
        <x:v>Lossless source PNG/TGA plus compiled texture recipe input</x:v>
      </x:c>
      <x:c r="K35" s="21" t="str">
        <x:v>sRGB color, no baked lighting; seams remain clean under mipmapping and 4K hero-view inspection.</x:v>
      </x:c>
      <x:c r="L35" s="21" t="str">
        <x:v>SRC-021: vt2-pusfume-1p/docs/MODEL_HANDOFF.md; SRC-028: vt2-pusfume-1p/tools/pusfume_atlas_layout.json</x:v>
      </x:c>
      <x:c r="M35" s="21" t="str"/>
    </x:row>
    <x:row r="36" ht="46" customHeight="1">
      <x:c r="A36" s="24" t="str">
        <x:v>TEX-032</x:v>
      </x:c>
      <x:c r="B36" s="21" t="str">
        <x:v>Texture set</x:v>
      </x:c>
      <x:c r="C36" s="21" t="str">
        <x:v>Tail: Normal + gloss</x:v>
      </x:c>
      <x:c r="D36" s="21" t="str">
        <x:v>Both</x:v>
      </x:c>
      <x:c r="E36" s="21" t="str">
        <x:v>Final UV layout</x:v>
      </x:c>
      <x:c r="F36" s="27" t="str">
        <x:v>Required</x:v>
      </x:c>
      <x:c r="G36" s="27" t="str">
        <x:v>P0</x:v>
      </x:c>
      <x:c r="H36" s="27" t="str">
        <x:v>Not Started</x:v>
      </x:c>
      <x:c r="I36" s="27" t="str">
        <x:v>Janfon</x:v>
      </x:c>
      <x:c r="J36" s="21" t="str">
        <x:v>Lossless source PNG/TGA plus compiled texture recipe input</x:v>
      </x:c>
      <x:c r="K36" s="21" t="str">
        <x:v>VT2 channel orientation and packed gloss verified; seams remain clean under mipmapping and 4K hero-view inspection.</x:v>
      </x:c>
      <x:c r="L36" s="21" t="str">
        <x:v>SRC-021: vt2-pusfume-1p/docs/MODEL_HANDOFF.md; SRC-028: vt2-pusfume-1p/tools/pusfume_atlas_layout.json</x:v>
      </x:c>
      <x:c r="M36" s="21" t="str"/>
    </x:row>
    <x:row r="37" ht="46" customHeight="1">
      <x:c r="A37" s="24" t="str">
        <x:v>TEX-033</x:v>
      </x:c>
      <x:c r="B37" s="21" t="str">
        <x:v>Texture set</x:v>
      </x:c>
      <x:c r="C37" s="21" t="str">
        <x:v>Tail: Specular / response</x:v>
      </x:c>
      <x:c r="D37" s="21" t="str">
        <x:v>Both</x:v>
      </x:c>
      <x:c r="E37" s="21" t="str">
        <x:v>Final UV layout</x:v>
      </x:c>
      <x:c r="F37" s="27" t="str">
        <x:v>Required</x:v>
      </x:c>
      <x:c r="G37" s="27" t="str">
        <x:v>P1</x:v>
      </x:c>
      <x:c r="H37" s="27" t="str">
        <x:v>Not Started</x:v>
      </x:c>
      <x:c r="I37" s="27" t="str">
        <x:v>Janfon</x:v>
      </x:c>
      <x:c r="J37" s="21" t="str">
        <x:v>Lossless source PNG/TGA plus compiled texture recipe input</x:v>
      </x:c>
      <x:c r="K37" s="21" t="str">
        <x:v>Material response separates skin, cloth, metal, tooth, and leather; seams remain clean under mipmapping and 4K hero-view inspection.</x:v>
      </x:c>
      <x:c r="L37" s="21" t="str">
        <x:v>SRC-021: vt2-pusfume-1p/docs/MODEL_HANDOFF.md; SRC-028: vt2-pusfume-1p/tools/pusfume_atlas_layout.json</x:v>
      </x:c>
      <x:c r="M37" s="21" t="str"/>
    </x:row>
    <x:row r="38" ht="46" customHeight="1">
      <x:c r="A38" s="24" t="str">
        <x:v>TEX-034</x:v>
      </x:c>
      <x:c r="B38" s="21" t="str">
        <x:v>Texture set</x:v>
      </x:c>
      <x:c r="C38" s="21" t="str">
        <x:v>Career bag: Base color / diffuse</x:v>
      </x:c>
      <x:c r="D38" s="21" t="str">
        <x:v>Both</x:v>
      </x:c>
      <x:c r="E38" s="21" t="str">
        <x:v>Final UV layout</x:v>
      </x:c>
      <x:c r="F38" s="27" t="str">
        <x:v>Required</x:v>
      </x:c>
      <x:c r="G38" s="27" t="str">
        <x:v>P0</x:v>
      </x:c>
      <x:c r="H38" s="27" t="str">
        <x:v>Not Started</x:v>
      </x:c>
      <x:c r="I38" s="27" t="str">
        <x:v>Janfon</x:v>
      </x:c>
      <x:c r="J38" s="21" t="str">
        <x:v>Lossless source PNG/TGA plus compiled texture recipe input</x:v>
      </x:c>
      <x:c r="K38" s="21" t="str">
        <x:v>sRGB color, no baked lighting; seams remain clean under mipmapping and 4K hero-view inspection.</x:v>
      </x:c>
      <x:c r="L38" s="21" t="str">
        <x:v>SRC-021: vt2-pusfume-1p/docs/MODEL_HANDOFF.md; SRC-028: vt2-pusfume-1p/tools/pusfume_atlas_layout.json</x:v>
      </x:c>
      <x:c r="M38" s="21" t="str"/>
    </x:row>
    <x:row r="39" ht="46" customHeight="1">
      <x:c r="A39" s="24" t="str">
        <x:v>TEX-035</x:v>
      </x:c>
      <x:c r="B39" s="21" t="str">
        <x:v>Texture set</x:v>
      </x:c>
      <x:c r="C39" s="21" t="str">
        <x:v>Career bag: Normal + gloss</x:v>
      </x:c>
      <x:c r="D39" s="21" t="str">
        <x:v>Both</x:v>
      </x:c>
      <x:c r="E39" s="21" t="str">
        <x:v>Final UV layout</x:v>
      </x:c>
      <x:c r="F39" s="27" t="str">
        <x:v>Required</x:v>
      </x:c>
      <x:c r="G39" s="27" t="str">
        <x:v>P0</x:v>
      </x:c>
      <x:c r="H39" s="27" t="str">
        <x:v>Not Started</x:v>
      </x:c>
      <x:c r="I39" s="27" t="str">
        <x:v>Janfon</x:v>
      </x:c>
      <x:c r="J39" s="21" t="str">
        <x:v>Lossless source PNG/TGA plus compiled texture recipe input</x:v>
      </x:c>
      <x:c r="K39" s="21" t="str">
        <x:v>VT2 channel orientation and packed gloss verified; seams remain clean under mipmapping and 4K hero-view inspection.</x:v>
      </x:c>
      <x:c r="L39" s="21" t="str">
        <x:v>SRC-021: vt2-pusfume-1p/docs/MODEL_HANDOFF.md; SRC-028: vt2-pusfume-1p/tools/pusfume_atlas_layout.json</x:v>
      </x:c>
      <x:c r="M39" s="21" t="str"/>
    </x:row>
    <x:row r="40" ht="46" customHeight="1">
      <x:c r="A40" s="24" t="str">
        <x:v>TEX-036</x:v>
      </x:c>
      <x:c r="B40" s="21" t="str">
        <x:v>Texture set</x:v>
      </x:c>
      <x:c r="C40" s="21" t="str">
        <x:v>Career bag: Specular / response</x:v>
      </x:c>
      <x:c r="D40" s="21" t="str">
        <x:v>Both</x:v>
      </x:c>
      <x:c r="E40" s="21" t="str">
        <x:v>Final UV layout</x:v>
      </x:c>
      <x:c r="F40" s="27" t="str">
        <x:v>Required</x:v>
      </x:c>
      <x:c r="G40" s="27" t="str">
        <x:v>P1</x:v>
      </x:c>
      <x:c r="H40" s="27" t="str">
        <x:v>Not Started</x:v>
      </x:c>
      <x:c r="I40" s="27" t="str">
        <x:v>Janfon</x:v>
      </x:c>
      <x:c r="J40" s="21" t="str">
        <x:v>Lossless source PNG/TGA plus compiled texture recipe input</x:v>
      </x:c>
      <x:c r="K40" s="21" t="str">
        <x:v>Material response separates skin, cloth, metal, tooth, and leather; seams remain clean under mipmapping and 4K hero-view inspection.</x:v>
      </x:c>
      <x:c r="L40" s="21" t="str">
        <x:v>SRC-021: vt2-pusfume-1p/docs/MODEL_HANDOFF.md; SRC-028: vt2-pusfume-1p/tools/pusfume_atlas_layout.json</x:v>
      </x:c>
      <x:c r="M40" s="21" t="str"/>
    </x:row>
    <x:row r="41" ht="46" customHeight="1">
      <x:c r="A41" s="24" t="str">
        <x:v>TEX-037</x:v>
      </x:c>
      <x:c r="B41" s="21" t="str">
        <x:v>Texture set</x:v>
      </x:c>
      <x:c r="C41" s="21" t="str">
        <x:v>Career bag: Emissive / mask</x:v>
      </x:c>
      <x:c r="D41" s="21" t="str">
        <x:v>Both</x:v>
      </x:c>
      <x:c r="E41" s="21" t="str">
        <x:v>Final UV layout</x:v>
      </x:c>
      <x:c r="F41" s="27" t="str">
        <x:v>Conditional</x:v>
      </x:c>
      <x:c r="G41" s="27" t="str">
        <x:v>P1</x:v>
      </x:c>
      <x:c r="H41" s="27" t="str">
        <x:v>Not Started</x:v>
      </x:c>
      <x:c r="I41" s="27" t="str">
        <x:v>Janfon</x:v>
      </x:c>
      <x:c r="J41" s="21" t="str">
        <x:v>Lossless source PNG/TGA plus compiled texture recipe input</x:v>
      </x:c>
      <x:c r="K41" s="21" t="str">
        <x:v>Black where unused; eyes/gas only where intentional; seams remain clean under mipmapping and 4K hero-view inspection.</x:v>
      </x:c>
      <x:c r="L41" s="21" t="str">
        <x:v>SRC-021: vt2-pusfume-1p/docs/MODEL_HANDOFF.md; SRC-028: vt2-pusfume-1p/tools/pusfume_atlas_layout.json</x:v>
      </x:c>
      <x:c r="M41" s="21" t="str"/>
    </x:row>
    <x:row r="42" ht="46" customHeight="1">
      <x:c r="A42" s="24" t="str">
        <x:v>TEX-038</x:v>
      </x:c>
      <x:c r="B42" s="21" t="str">
        <x:v>Texture set</x:v>
      </x:c>
      <x:c r="C42" s="21" t="str">
        <x:v>Gas bomb: Base color / diffuse</x:v>
      </x:c>
      <x:c r="D42" s="21" t="str">
        <x:v>Both</x:v>
      </x:c>
      <x:c r="E42" s="21" t="str">
        <x:v>Final UV layout</x:v>
      </x:c>
      <x:c r="F42" s="27" t="str">
        <x:v>Required</x:v>
      </x:c>
      <x:c r="G42" s="27" t="str">
        <x:v>P0</x:v>
      </x:c>
      <x:c r="H42" s="27" t="str">
        <x:v>Not Started</x:v>
      </x:c>
      <x:c r="I42" s="27" t="str">
        <x:v>Janfon</x:v>
      </x:c>
      <x:c r="J42" s="21" t="str">
        <x:v>Lossless source PNG/TGA plus compiled texture recipe input</x:v>
      </x:c>
      <x:c r="K42" s="21" t="str">
        <x:v>sRGB color, no baked lighting; seams remain clean under mipmapping and 4K hero-view inspection.</x:v>
      </x:c>
      <x:c r="L42" s="21" t="str">
        <x:v>SRC-021: vt2-pusfume-1p/docs/MODEL_HANDOFF.md; SRC-028: vt2-pusfume-1p/tools/pusfume_atlas_layout.json</x:v>
      </x:c>
      <x:c r="M42" s="21" t="str"/>
    </x:row>
    <x:row r="43" ht="46" customHeight="1">
      <x:c r="A43" s="24" t="str">
        <x:v>TEX-039</x:v>
      </x:c>
      <x:c r="B43" s="21" t="str">
        <x:v>Texture set</x:v>
      </x:c>
      <x:c r="C43" s="21" t="str">
        <x:v>Gas bomb: Normal + gloss</x:v>
      </x:c>
      <x:c r="D43" s="21" t="str">
        <x:v>Both</x:v>
      </x:c>
      <x:c r="E43" s="21" t="str">
        <x:v>Final UV layout</x:v>
      </x:c>
      <x:c r="F43" s="27" t="str">
        <x:v>Required</x:v>
      </x:c>
      <x:c r="G43" s="27" t="str">
        <x:v>P0</x:v>
      </x:c>
      <x:c r="H43" s="27" t="str">
        <x:v>Not Started</x:v>
      </x:c>
      <x:c r="I43" s="27" t="str">
        <x:v>Janfon</x:v>
      </x:c>
      <x:c r="J43" s="21" t="str">
        <x:v>Lossless source PNG/TGA plus compiled texture recipe input</x:v>
      </x:c>
      <x:c r="K43" s="21" t="str">
        <x:v>VT2 channel orientation and packed gloss verified; seams remain clean under mipmapping and 4K hero-view inspection.</x:v>
      </x:c>
      <x:c r="L43" s="21" t="str">
        <x:v>SRC-021: vt2-pusfume-1p/docs/MODEL_HANDOFF.md; SRC-028: vt2-pusfume-1p/tools/pusfume_atlas_layout.json</x:v>
      </x:c>
      <x:c r="M43" s="21" t="str"/>
    </x:row>
    <x:row r="44" ht="46" customHeight="1">
      <x:c r="A44" s="24" t="str">
        <x:v>TEX-040</x:v>
      </x:c>
      <x:c r="B44" s="21" t="str">
        <x:v>Texture set</x:v>
      </x:c>
      <x:c r="C44" s="21" t="str">
        <x:v>Gas bomb: Specular / response</x:v>
      </x:c>
      <x:c r="D44" s="21" t="str">
        <x:v>Both</x:v>
      </x:c>
      <x:c r="E44" s="21" t="str">
        <x:v>Final UV layout</x:v>
      </x:c>
      <x:c r="F44" s="27" t="str">
        <x:v>Required</x:v>
      </x:c>
      <x:c r="G44" s="27" t="str">
        <x:v>P1</x:v>
      </x:c>
      <x:c r="H44" s="27" t="str">
        <x:v>Not Started</x:v>
      </x:c>
      <x:c r="I44" s="27" t="str">
        <x:v>Janfon</x:v>
      </x:c>
      <x:c r="J44" s="21" t="str">
        <x:v>Lossless source PNG/TGA plus compiled texture recipe input</x:v>
      </x:c>
      <x:c r="K44" s="21" t="str">
        <x:v>Material response separates skin, cloth, metal, tooth, and leather; seams remain clean under mipmapping and 4K hero-view inspection.</x:v>
      </x:c>
      <x:c r="L44" s="21" t="str">
        <x:v>SRC-021: vt2-pusfume-1p/docs/MODEL_HANDOFF.md; SRC-028: vt2-pusfume-1p/tools/pusfume_atlas_layout.json</x:v>
      </x:c>
      <x:c r="M44" s="21" t="str"/>
    </x:row>
    <x:row r="45" ht="46" customHeight="1">
      <x:c r="A45" s="24" t="str">
        <x:v>TEX-041</x:v>
      </x:c>
      <x:c r="B45" s="21" t="str">
        <x:v>Texture set</x:v>
      </x:c>
      <x:c r="C45" s="21" t="str">
        <x:v>Gas bomb: Emissive / mask</x:v>
      </x:c>
      <x:c r="D45" s="21" t="str">
        <x:v>Both</x:v>
      </x:c>
      <x:c r="E45" s="21" t="str">
        <x:v>Final UV layout</x:v>
      </x:c>
      <x:c r="F45" s="27" t="str">
        <x:v>Conditional</x:v>
      </x:c>
      <x:c r="G45" s="27" t="str">
        <x:v>P1</x:v>
      </x:c>
      <x:c r="H45" s="27" t="str">
        <x:v>Not Started</x:v>
      </x:c>
      <x:c r="I45" s="27" t="str">
        <x:v>Janfon</x:v>
      </x:c>
      <x:c r="J45" s="21" t="str">
        <x:v>Lossless source PNG/TGA plus compiled texture recipe input</x:v>
      </x:c>
      <x:c r="K45" s="21" t="str">
        <x:v>Black where unused; eyes/gas only where intentional; seams remain clean under mipmapping and 4K hero-view inspection.</x:v>
      </x:c>
      <x:c r="L45" s="21" t="str">
        <x:v>SRC-021: vt2-pusfume-1p/docs/MODEL_HANDOFF.md; SRC-028: vt2-pusfume-1p/tools/pusfume_atlas_layout.json</x:v>
      </x:c>
      <x:c r="M45" s="21" t="str"/>
    </x:row>
    <x:row r="46" ht="46" customHeight="1">
      <x:c r="A46" s="24" t="str">
        <x:v>TEX-042</x:v>
      </x:c>
      <x:c r="B46" s="21" t="str">
        <x:v>Texture set</x:v>
      </x:c>
      <x:c r="C46" s="21" t="str">
        <x:v>Gas trap: Base color / diffuse</x:v>
      </x:c>
      <x:c r="D46" s="21" t="str">
        <x:v>Both</x:v>
      </x:c>
      <x:c r="E46" s="21" t="str">
        <x:v>Final UV layout</x:v>
      </x:c>
      <x:c r="F46" s="27" t="str">
        <x:v>Required</x:v>
      </x:c>
      <x:c r="G46" s="27" t="str">
        <x:v>P0</x:v>
      </x:c>
      <x:c r="H46" s="27" t="str">
        <x:v>Not Started</x:v>
      </x:c>
      <x:c r="I46" s="27" t="str">
        <x:v>Janfon</x:v>
      </x:c>
      <x:c r="J46" s="21" t="str">
        <x:v>Lossless source PNG/TGA plus compiled texture recipe input</x:v>
      </x:c>
      <x:c r="K46" s="21" t="str">
        <x:v>sRGB color, no baked lighting; seams remain clean under mipmapping and 4K hero-view inspection.</x:v>
      </x:c>
      <x:c r="L46" s="21" t="str">
        <x:v>SRC-021: vt2-pusfume-1p/docs/MODEL_HANDOFF.md; SRC-028: vt2-pusfume-1p/tools/pusfume_atlas_layout.json</x:v>
      </x:c>
      <x:c r="M46" s="21" t="str"/>
    </x:row>
    <x:row r="47" ht="46" customHeight="1">
      <x:c r="A47" s="24" t="str">
        <x:v>TEX-043</x:v>
      </x:c>
      <x:c r="B47" s="21" t="str">
        <x:v>Texture set</x:v>
      </x:c>
      <x:c r="C47" s="21" t="str">
        <x:v>Gas trap: Normal + gloss</x:v>
      </x:c>
      <x:c r="D47" s="21" t="str">
        <x:v>Both</x:v>
      </x:c>
      <x:c r="E47" s="21" t="str">
        <x:v>Final UV layout</x:v>
      </x:c>
      <x:c r="F47" s="27" t="str">
        <x:v>Required</x:v>
      </x:c>
      <x:c r="G47" s="27" t="str">
        <x:v>P0</x:v>
      </x:c>
      <x:c r="H47" s="27" t="str">
        <x:v>Not Started</x:v>
      </x:c>
      <x:c r="I47" s="27" t="str">
        <x:v>Janfon</x:v>
      </x:c>
      <x:c r="J47" s="21" t="str">
        <x:v>Lossless source PNG/TGA plus compiled texture recipe input</x:v>
      </x:c>
      <x:c r="K47" s="21" t="str">
        <x:v>VT2 channel orientation and packed gloss verified; seams remain clean under mipmapping and 4K hero-view inspection.</x:v>
      </x:c>
      <x:c r="L47" s="21" t="str">
        <x:v>SRC-021: vt2-pusfume-1p/docs/MODEL_HANDOFF.md; SRC-028: vt2-pusfume-1p/tools/pusfume_atlas_layout.json</x:v>
      </x:c>
      <x:c r="M47" s="21" t="str"/>
    </x:row>
    <x:row r="48" ht="46" customHeight="1">
      <x:c r="A48" s="24" t="str">
        <x:v>TEX-044</x:v>
      </x:c>
      <x:c r="B48" s="21" t="str">
        <x:v>Texture set</x:v>
      </x:c>
      <x:c r="C48" s="21" t="str">
        <x:v>Gas trap: Specular / response</x:v>
      </x:c>
      <x:c r="D48" s="21" t="str">
        <x:v>Both</x:v>
      </x:c>
      <x:c r="E48" s="21" t="str">
        <x:v>Final UV layout</x:v>
      </x:c>
      <x:c r="F48" s="27" t="str">
        <x:v>Required</x:v>
      </x:c>
      <x:c r="G48" s="27" t="str">
        <x:v>P1</x:v>
      </x:c>
      <x:c r="H48" s="27" t="str">
        <x:v>Not Started</x:v>
      </x:c>
      <x:c r="I48" s="27" t="str">
        <x:v>Janfon</x:v>
      </x:c>
      <x:c r="J48" s="21" t="str">
        <x:v>Lossless source PNG/TGA plus compiled texture recipe input</x:v>
      </x:c>
      <x:c r="K48" s="21" t="str">
        <x:v>Material response separates skin, cloth, metal, tooth, and leather; seams remain clean under mipmapping and 4K hero-view inspection.</x:v>
      </x:c>
      <x:c r="L48" s="21" t="str">
        <x:v>SRC-021: vt2-pusfume-1p/docs/MODEL_HANDOFF.md; SRC-028: vt2-pusfume-1p/tools/pusfume_atlas_layout.json</x:v>
      </x:c>
      <x:c r="M48" s="21" t="str"/>
    </x:row>
    <x:row r="49" ht="46" customHeight="1">
      <x:c r="A49" s="24" t="str">
        <x:v>TEX-045</x:v>
      </x:c>
      <x:c r="B49" s="21" t="str">
        <x:v>Texture set</x:v>
      </x:c>
      <x:c r="C49" s="21" t="str">
        <x:v>Gas trap: Emissive / mask</x:v>
      </x:c>
      <x:c r="D49" s="21" t="str">
        <x:v>Both</x:v>
      </x:c>
      <x:c r="E49" s="21" t="str">
        <x:v>Final UV layout</x:v>
      </x:c>
      <x:c r="F49" s="27" t="str">
        <x:v>Conditional</x:v>
      </x:c>
      <x:c r="G49" s="27" t="str">
        <x:v>P1</x:v>
      </x:c>
      <x:c r="H49" s="27" t="str">
        <x:v>Not Started</x:v>
      </x:c>
      <x:c r="I49" s="27" t="str">
        <x:v>Janfon</x:v>
      </x:c>
      <x:c r="J49" s="21" t="str">
        <x:v>Lossless source PNG/TGA plus compiled texture recipe input</x:v>
      </x:c>
      <x:c r="K49" s="21" t="str">
        <x:v>Black where unused; eyes/gas only where intentional; seams remain clean under mipmapping and 4K hero-view inspection.</x:v>
      </x:c>
      <x:c r="L49" s="21" t="str">
        <x:v>SRC-021: vt2-pusfume-1p/docs/MODEL_HANDOFF.md; SRC-028: vt2-pusfume-1p/tools/pusfume_atlas_layout.json</x:v>
      </x:c>
      <x:c r="M49" s="21" t="str"/>
    </x:row>
    <x:row r="50" ht="46" customHeight="1">
      <x:c r="A50" s="24" t="str">
        <x:v>TEX-046</x:v>
      </x:c>
      <x:c r="B50" s="21" t="str">
        <x:v>Texture set</x:v>
      </x:c>
      <x:c r="C50" s="21" t="str">
        <x:v>Base cosmetic: Base color / diffuse</x:v>
      </x:c>
      <x:c r="D50" s="21" t="str">
        <x:v>Both</x:v>
      </x:c>
      <x:c r="E50" s="21" t="str">
        <x:v>Final UV layout</x:v>
      </x:c>
      <x:c r="F50" s="27" t="str">
        <x:v>Required</x:v>
      </x:c>
      <x:c r="G50" s="27" t="str">
        <x:v>P0</x:v>
      </x:c>
      <x:c r="H50" s="27" t="str">
        <x:v>Not Started</x:v>
      </x:c>
      <x:c r="I50" s="27" t="str">
        <x:v>Janfon</x:v>
      </x:c>
      <x:c r="J50" s="21" t="str">
        <x:v>Lossless source PNG/TGA plus compiled texture recipe input</x:v>
      </x:c>
      <x:c r="K50" s="21" t="str">
        <x:v>sRGB color, no baked lighting; seams remain clean under mipmapping and 4K hero-view inspection.</x:v>
      </x:c>
      <x:c r="L50" s="21" t="str">
        <x:v>SRC-021: vt2-pusfume-1p/docs/MODEL_HANDOFF.md; SRC-028: vt2-pusfume-1p/tools/pusfume_atlas_layout.json</x:v>
      </x:c>
      <x:c r="M50" s="21" t="str"/>
    </x:row>
    <x:row r="51" ht="46" customHeight="1">
      <x:c r="A51" s="24" t="str">
        <x:v>TEX-047</x:v>
      </x:c>
      <x:c r="B51" s="21" t="str">
        <x:v>Texture set</x:v>
      </x:c>
      <x:c r="C51" s="21" t="str">
        <x:v>Base cosmetic: Normal + gloss</x:v>
      </x:c>
      <x:c r="D51" s="21" t="str">
        <x:v>Both</x:v>
      </x:c>
      <x:c r="E51" s="21" t="str">
        <x:v>Final UV layout</x:v>
      </x:c>
      <x:c r="F51" s="27" t="str">
        <x:v>Required</x:v>
      </x:c>
      <x:c r="G51" s="27" t="str">
        <x:v>P0</x:v>
      </x:c>
      <x:c r="H51" s="27" t="str">
        <x:v>Not Started</x:v>
      </x:c>
      <x:c r="I51" s="27" t="str">
        <x:v>Janfon</x:v>
      </x:c>
      <x:c r="J51" s="21" t="str">
        <x:v>Lossless source PNG/TGA plus compiled texture recipe input</x:v>
      </x:c>
      <x:c r="K51" s="21" t="str">
        <x:v>VT2 channel orientation and packed gloss verified; seams remain clean under mipmapping and 4K hero-view inspection.</x:v>
      </x:c>
      <x:c r="L51" s="21" t="str">
        <x:v>SRC-021: vt2-pusfume-1p/docs/MODEL_HANDOFF.md; SRC-028: vt2-pusfume-1p/tools/pusfume_atlas_layout.json</x:v>
      </x:c>
      <x:c r="M51" s="21" t="str"/>
    </x:row>
    <x:row r="52" ht="46" customHeight="1">
      <x:c r="A52" s="24" t="str">
        <x:v>TEX-048</x:v>
      </x:c>
      <x:c r="B52" s="21" t="str">
        <x:v>Texture set</x:v>
      </x:c>
      <x:c r="C52" s="21" t="str">
        <x:v>Base cosmetic: Specular / response</x:v>
      </x:c>
      <x:c r="D52" s="21" t="str">
        <x:v>Both</x:v>
      </x:c>
      <x:c r="E52" s="21" t="str">
        <x:v>Final UV layout</x:v>
      </x:c>
      <x:c r="F52" s="27" t="str">
        <x:v>Required</x:v>
      </x:c>
      <x:c r="G52" s="27" t="str">
        <x:v>P1</x:v>
      </x:c>
      <x:c r="H52" s="27" t="str">
        <x:v>Not Started</x:v>
      </x:c>
      <x:c r="I52" s="27" t="str">
        <x:v>Janfon</x:v>
      </x:c>
      <x:c r="J52" s="21" t="str">
        <x:v>Lossless source PNG/TGA plus compiled texture recipe input</x:v>
      </x:c>
      <x:c r="K52" s="21" t="str">
        <x:v>Material response separates skin, cloth, metal, tooth, and leather; seams remain clean under mipmapping and 4K hero-view inspection.</x:v>
      </x:c>
      <x:c r="L52" s="21" t="str">
        <x:v>SRC-021: vt2-pusfume-1p/docs/MODEL_HANDOFF.md; SRC-028: vt2-pusfume-1p/tools/pusfume_atlas_layout.json</x:v>
      </x:c>
      <x:c r="M52" s="21" t="str"/>
    </x:row>
    <x:row r="53" ht="46" customHeight="1">
      <x:c r="A53" s="24" t="str">
        <x:v>TEX-049</x:v>
      </x:c>
      <x:c r="B53" s="21" t="str">
        <x:v>Texture set</x:v>
      </x:c>
      <x:c r="C53" s="21" t="str">
        <x:v>Base cosmetic: Opacity / cutout mask</x:v>
      </x:c>
      <x:c r="D53" s="21" t="str">
        <x:v>Both</x:v>
      </x:c>
      <x:c r="E53" s="21" t="str">
        <x:v>Final UV layout</x:v>
      </x:c>
      <x:c r="F53" s="27" t="str">
        <x:v>Conditional</x:v>
      </x:c>
      <x:c r="G53" s="27" t="str">
        <x:v>P1</x:v>
      </x:c>
      <x:c r="H53" s="27" t="str">
        <x:v>Not Started</x:v>
      </x:c>
      <x:c r="I53" s="27" t="str">
        <x:v>Janfon</x:v>
      </x:c>
      <x:c r="J53" s="21" t="str">
        <x:v>Lossless source PNG/TGA plus compiled texture recipe input</x:v>
      </x:c>
      <x:c r="K53" s="21" t="str">
        <x:v>Hard, clean coverage without gray fringe; seams remain clean under mipmapping and 4K hero-view inspection.</x:v>
      </x:c>
      <x:c r="L53" s="21" t="str">
        <x:v>SRC-021: vt2-pusfume-1p/docs/MODEL_HANDOFF.md; SRC-028: vt2-pusfume-1p/tools/pusfume_atlas_layout.json</x:v>
      </x:c>
      <x:c r="M53" s="21" t="str"/>
    </x:row>
    <x:row r="54" ht="46" customHeight="1">
      <x:c r="A54" s="24" t="str">
        <x:v>TEX-050</x:v>
      </x:c>
      <x:c r="B54" s="21" t="str">
        <x:v>Alpha materials</x:v>
      </x:c>
      <x:c r="C54" s="21" t="str">
        <x:v>Whisker base color + opacity</x:v>
      </x:c>
      <x:c r="D54" s="21" t="str">
        <x:v>Third person</x:v>
      </x:c>
      <x:c r="E54" s="21" t="str">
        <x:v>Cutout</x:v>
      </x:c>
      <x:c r="F54" s="27" t="str">
        <x:v>Required</x:v>
      </x:c>
      <x:c r="G54" s="27" t="str">
        <x:v>P0</x:v>
      </x:c>
      <x:c r="H54" s="27" t="str">
        <x:v>Not Started</x:v>
      </x:c>
      <x:c r="I54" s="27" t="str">
        <x:v>Janfon</x:v>
      </x:c>
      <x:c r="J54" s="21" t="str">
        <x:v>Dedicated texture maps and material assignment</x:v>
      </x:c>
      <x:c r="K54" s="21" t="str">
        <x:v>No bright fringe, tape-like specular, or visible card rectangle; alpha coverage survives mipmaps.</x:v>
      </x:c>
      <x:c r="L54" s="21" t="str">
        <x:v>SRC-021: vt2-pusfume-1p/docs/MODEL_HANDOFF.md; SRC-020: vt2-pusfume-1p/docs/ASSET_PIPELINE.md</x:v>
      </x:c>
      <x:c r="M54" s="21" t="str"/>
    </x:row>
    <x:row r="55" ht="46" customHeight="1">
      <x:c r="A55" s="24" t="str">
        <x:v>TEX-051</x:v>
      </x:c>
      <x:c r="B55" s="21" t="str">
        <x:v>Alpha materials</x:v>
      </x:c>
      <x:c r="C55" s="21" t="str">
        <x:v>Whisker normal/response</x:v>
      </x:c>
      <x:c r="D55" s="21" t="str">
        <x:v>Third person</x:v>
      </x:c>
      <x:c r="E55" s="21" t="str">
        <x:v>Cutout</x:v>
      </x:c>
      <x:c r="F55" s="27" t="str">
        <x:v>Required</x:v>
      </x:c>
      <x:c r="G55" s="27" t="str">
        <x:v>P0</x:v>
      </x:c>
      <x:c r="H55" s="27" t="str">
        <x:v>Not Started</x:v>
      </x:c>
      <x:c r="I55" s="27" t="str">
        <x:v>Janfon</x:v>
      </x:c>
      <x:c r="J55" s="21" t="str">
        <x:v>Dedicated texture maps and material assignment</x:v>
      </x:c>
      <x:c r="K55" s="21" t="str">
        <x:v>Near-neutral normal and restrained response prevent cards catching light as solid sheets.</x:v>
      </x:c>
      <x:c r="L55" s="21" t="str">
        <x:v>SRC-021: vt2-pusfume-1p/docs/MODEL_HANDOFF.md; SRC-020: vt2-pusfume-1p/docs/ASSET_PIPELINE.md</x:v>
      </x:c>
      <x:c r="M55" s="21" t="str"/>
    </x:row>
    <x:row r="56" ht="46" customHeight="1">
      <x:c r="A56" s="24" t="str">
        <x:v>TEX-052</x:v>
      </x:c>
      <x:c r="B56" s="21" t="str">
        <x:v>Alpha materials</x:v>
      </x:c>
      <x:c r="C56" s="21" t="str">
        <x:v>Fur base color + opacity</x:v>
      </x:c>
      <x:c r="D56" s="21" t="str">
        <x:v>Third person</x:v>
      </x:c>
      <x:c r="E56" s="21" t="str">
        <x:v>Cutout</x:v>
      </x:c>
      <x:c r="F56" s="27" t="str">
        <x:v>Required</x:v>
      </x:c>
      <x:c r="G56" s="27" t="str">
        <x:v>P0</x:v>
      </x:c>
      <x:c r="H56" s="27" t="str">
        <x:v>Not Started</x:v>
      </x:c>
      <x:c r="I56" s="27" t="str">
        <x:v>Janfon</x:v>
      </x:c>
      <x:c r="J56" s="21" t="str">
        <x:v>Dedicated texture maps and material assignment</x:v>
      </x:c>
      <x:c r="K56" s="21" t="str">
        <x:v>Card roots match underlying body; tips fade cleanly without halos.</x:v>
      </x:c>
      <x:c r="L56" s="21" t="str">
        <x:v>SRC-021: vt2-pusfume-1p/docs/MODEL_HANDOFF.md; SRC-020: vt2-pusfume-1p/docs/ASSET_PIPELINE.md</x:v>
      </x:c>
      <x:c r="M56" s="21" t="str"/>
    </x:row>
    <x:row r="57" ht="46" customHeight="1">
      <x:c r="A57" s="24" t="str">
        <x:v>TEX-053</x:v>
      </x:c>
      <x:c r="B57" s="21" t="str">
        <x:v>Alpha materials</x:v>
      </x:c>
      <x:c r="C57" s="21" t="str">
        <x:v>Fur normal/response</x:v>
      </x:c>
      <x:c r="D57" s="21" t="str">
        <x:v>Third person</x:v>
      </x:c>
      <x:c r="E57" s="21" t="str">
        <x:v>Cutout</x:v>
      </x:c>
      <x:c r="F57" s="27" t="str">
        <x:v>Required</x:v>
      </x:c>
      <x:c r="G57" s="27" t="str">
        <x:v>P0</x:v>
      </x:c>
      <x:c r="H57" s="27" t="str">
        <x:v>Not Started</x:v>
      </x:c>
      <x:c r="I57" s="27" t="str">
        <x:v>Janfon</x:v>
      </x:c>
      <x:c r="J57" s="21" t="str">
        <x:v>Dedicated texture maps and material assignment</x:v>
      </x:c>
      <x:c r="K57" s="21" t="str">
        <x:v>Lighting reads as soft fur rather than plastic planes; tangent orientation is consistent.</x:v>
      </x:c>
      <x:c r="L57" s="21" t="str">
        <x:v>SRC-021: vt2-pusfume-1p/docs/MODEL_HANDOFF.md; SRC-020: vt2-pusfume-1p/docs/ASSET_PIPELINE.md</x:v>
      </x:c>
      <x:c r="M57" s="21" t="str"/>
    </x:row>
    <x:row r="58" ht="46" customHeight="1">
      <x:c r="A58" s="24" t="str">
        <x:v>TEX-054</x:v>
      </x:c>
      <x:c r="B58" s="21" t="str">
        <x:v>Alpha materials</x:v>
      </x:c>
      <x:c r="C58" s="21" t="str">
        <x:v>Fur/body color match</x:v>
      </x:c>
      <x:c r="D58" s="21" t="str">
        <x:v>Third person</x:v>
      </x:c>
      <x:c r="E58" s="21" t="str">
        <x:v>Cutout</x:v>
      </x:c>
      <x:c r="F58" s="27" t="str">
        <x:v>Required</x:v>
      </x:c>
      <x:c r="G58" s="27" t="str">
        <x:v>P0</x:v>
      </x:c>
      <x:c r="H58" s="27" t="str">
        <x:v>Not Started</x:v>
      </x:c>
      <x:c r="I58" s="27" t="str">
        <x:v>Janfon</x:v>
      </x:c>
      <x:c r="J58" s="21" t="str">
        <x:v>Dedicated texture maps and material assignment</x:v>
      </x:c>
      <x:c r="K58" s="21" t="str">
        <x:v>Fur remains attached visually under hero-view and dark in-game lighting; no overbright legacy donor color.</x:v>
      </x:c>
      <x:c r="L58" s="21" t="str">
        <x:v>SRC-021: vt2-pusfume-1p/docs/MODEL_HANDOFF.md; SRC-020: vt2-pusfume-1p/docs/ASSET_PIPELINE.md</x:v>
      </x:c>
      <x:c r="M58" s="21" t="str"/>
    </x:row>
    <x:row r="59" ht="46" customHeight="1">
      <x:c r="A59" s="24" t="str">
        <x:v>TEX-055</x:v>
      </x:c>
      <x:c r="B59" s="21" t="str">
        <x:v>Material integration</x:v>
      </x:c>
      <x:c r="C59" s="21" t="str">
        <x:v>4096 opaque atlas</x:v>
      </x:c>
      <x:c r="D59" s="21" t="str">
        <x:v>Both</x:v>
      </x:c>
      <x:c r="E59" s="21" t="str">
        <x:v>Build pipeline</x:v>
      </x:c>
      <x:c r="F59" s="27" t="str">
        <x:v>Required</x:v>
      </x:c>
      <x:c r="G59" s="27" t="str">
        <x:v>P1</x:v>
      </x:c>
      <x:c r="H59" s="27" t="str">
        <x:v>Not Started</x:v>
      </x:c>
      <x:c r="I59" s="27" t="str">
        <x:v>Janfon</x:v>
      </x:c>
      <x:c r="J59" s="21" t="str">
        <x:v>Source maps + verified compiled material</x:v>
      </x:c>
      <x:c r="K59" s="21" t="str">
        <x:v>All opaque material islands retain intended texel density and padding; no cross-tile bleed.</x:v>
      </x:c>
      <x:c r="L59" s="21" t="str">
        <x:v>SRC-028: vt2-pusfume-1p/tools/pusfume_atlas_layout.json; SRC-027: vt2-pusfume-1p/tools/Build-NativePusfume.ps1; SRC-020: vt2-pusfume-1p/docs/ASSET_PIPELINE.md</x:v>
      </x:c>
      <x:c r="M59" s="21" t="str"/>
    </x:row>
    <x:row r="60" ht="46" customHeight="1">
      <x:c r="A60" s="24" t="str">
        <x:v>TEX-056</x:v>
      </x:c>
      <x:c r="B60" s="21" t="str">
        <x:v>Material integration</x:v>
      </x:c>
      <x:c r="C60" s="21" t="str">
        <x:v>Atlas guard tiles</x:v>
      </x:c>
      <x:c r="D60" s="21" t="str">
        <x:v>Both</x:v>
      </x:c>
      <x:c r="E60" s="21" t="str">
        <x:v>Build pipeline</x:v>
      </x:c>
      <x:c r="F60" s="27" t="str">
        <x:v>Required</x:v>
      </x:c>
      <x:c r="G60" s="27" t="str">
        <x:v>P1</x:v>
      </x:c>
      <x:c r="H60" s="27" t="str">
        <x:v>Not Started</x:v>
      </x:c>
      <x:c r="I60" s="27" t="str">
        <x:v>Janfon</x:v>
      </x:c>
      <x:c r="J60" s="21" t="str">
        <x:v>Source maps + verified compiled material</x:v>
      </x:c>
      <x:c r="K60" s="21" t="str">
        <x:v>Out-of-range/repeating UV islands sample their own material region instead of neighbors.</x:v>
      </x:c>
      <x:c r="L60" s="21" t="str">
        <x:v>SRC-028: vt2-pusfume-1p/tools/pusfume_atlas_layout.json; SRC-027: vt2-pusfume-1p/tools/Build-NativePusfume.ps1; SRC-020: vt2-pusfume-1p/docs/ASSET_PIPELINE.md</x:v>
      </x:c>
      <x:c r="M60" s="21" t="str"/>
    </x:row>
    <x:row r="61" ht="46" customHeight="1">
      <x:c r="A61" s="24" t="str">
        <x:v>TEX-057</x:v>
      </x:c>
      <x:c r="B61" s="21" t="str">
        <x:v>Material integration</x:v>
      </x:c>
      <x:c r="C61" s="21" t="str">
        <x:v>Atlas layout manifest</x:v>
      </x:c>
      <x:c r="D61" s="21" t="str">
        <x:v>Both</x:v>
      </x:c>
      <x:c r="E61" s="21" t="str">
        <x:v>Build pipeline</x:v>
      </x:c>
      <x:c r="F61" s="27" t="str">
        <x:v>Required</x:v>
      </x:c>
      <x:c r="G61" s="27" t="str">
        <x:v>P1</x:v>
      </x:c>
      <x:c r="H61" s="27" t="str">
        <x:v>Not Started</x:v>
      </x:c>
      <x:c r="I61" s="27" t="str">
        <x:v>Engineering</x:v>
      </x:c>
      <x:c r="J61" s="21" t="str">
        <x:v>Source maps + verified compiled material</x:v>
      </x:c>
      <x:c r="K61" s="21" t="str">
        <x:v>Every material slot, source map, rectangle, padding, and transform is recorded and reproducible.</x:v>
      </x:c>
      <x:c r="L61" s="21" t="str">
        <x:v>SRC-028: vt2-pusfume-1p/tools/pusfume_atlas_layout.json; SRC-027: vt2-pusfume-1p/tools/Build-NativePusfume.ps1; SRC-020: vt2-pusfume-1p/docs/ASSET_PIPELINE.md</x:v>
      </x:c>
      <x:c r="M61" s="21" t="str"/>
    </x:row>
    <x:row r="62" ht="46" customHeight="1">
      <x:c r="A62" s="24" t="str">
        <x:v>TEX-058</x:v>
      </x:c>
      <x:c r="B62" s="21" t="str">
        <x:v>Material integration</x:v>
      </x:c>
      <x:c r="C62" s="21" t="str">
        <x:v>Neutral black emissive</x:v>
      </x:c>
      <x:c r="D62" s="21" t="str">
        <x:v>Both</x:v>
      </x:c>
      <x:c r="E62" s="21" t="str">
        <x:v>Build pipeline</x:v>
      </x:c>
      <x:c r="F62" s="27" t="str">
        <x:v>Required</x:v>
      </x:c>
      <x:c r="G62" s="27" t="str">
        <x:v>P0</x:v>
      </x:c>
      <x:c r="H62" s="27" t="str">
        <x:v>Not Started</x:v>
      </x:c>
      <x:c r="I62" s="27" t="str">
        <x:v>Janfon</x:v>
      </x:c>
      <x:c r="J62" s="21" t="str">
        <x:v>Source maps + verified compiled material</x:v>
      </x:c>
      <x:c r="K62" s="21" t="str">
        <x:v>Donor Globadier green emissive is eliminated except where intentionally authored.</x:v>
      </x:c>
      <x:c r="L62" s="21" t="str">
        <x:v>SRC-028: vt2-pusfume-1p/tools/pusfume_atlas_layout.json; SRC-027: vt2-pusfume-1p/tools/Build-NativePusfume.ps1; SRC-020: vt2-pusfume-1p/docs/ASSET_PIPELINE.md</x:v>
      </x:c>
      <x:c r="M62" s="21" t="str"/>
    </x:row>
    <x:row r="63" ht="46" customHeight="1">
      <x:c r="A63" s="24" t="str">
        <x:v>TEX-059</x:v>
      </x:c>
      <x:c r="B63" s="21" t="str">
        <x:v>Material integration</x:v>
      </x:c>
      <x:c r="C63" s="21" t="str">
        <x:v>Normal-map channel validation</x:v>
      </x:c>
      <x:c r="D63" s="21" t="str">
        <x:v>Both</x:v>
      </x:c>
      <x:c r="E63" s="21" t="str">
        <x:v>Build pipeline</x:v>
      </x:c>
      <x:c r="F63" s="27" t="str">
        <x:v>Required</x:v>
      </x:c>
      <x:c r="G63" s="27" t="str">
        <x:v>P0</x:v>
      </x:c>
      <x:c r="H63" s="27" t="str">
        <x:v>Not Started</x:v>
      </x:c>
      <x:c r="I63" s="27" t="str">
        <x:v>Janfon</x:v>
      </x:c>
      <x:c r="J63" s="21" t="str">
        <x:v>Source maps + verified compiled material</x:v>
      </x:c>
      <x:c r="K63" s="21" t="str">
        <x:v>Green/channel orientation is confirmed with a directional-light test, not judged from RGB appearance.</x:v>
      </x:c>
      <x:c r="L63" s="21" t="str">
        <x:v>SRC-028: vt2-pusfume-1p/tools/pusfume_atlas_layout.json; SRC-027: vt2-pusfume-1p/tools/Build-NativePusfume.ps1; SRC-020: vt2-pusfume-1p/docs/ASSET_PIPELINE.md</x:v>
      </x:c>
      <x:c r="M63" s="21" t="str"/>
    </x:row>
    <x:row r="64" ht="46" customHeight="1">
      <x:c r="A64" s="24" t="str">
        <x:v>TEX-060</x:v>
      </x:c>
      <x:c r="B64" s="21" t="str">
        <x:v>Material integration</x:v>
      </x:c>
      <x:c r="C64" s="21" t="str">
        <x:v>sRGB/linear import validation</x:v>
      </x:c>
      <x:c r="D64" s="21" t="str">
        <x:v>Both</x:v>
      </x:c>
      <x:c r="E64" s="21" t="str">
        <x:v>Build pipeline</x:v>
      </x:c>
      <x:c r="F64" s="27" t="str">
        <x:v>Required</x:v>
      </x:c>
      <x:c r="G64" s="27" t="str">
        <x:v>P1</x:v>
      </x:c>
      <x:c r="H64" s="27" t="str">
        <x:v>Not Started</x:v>
      </x:c>
      <x:c r="I64" s="27" t="str">
        <x:v>Janfon</x:v>
      </x:c>
      <x:c r="J64" s="21" t="str">
        <x:v>Source maps + verified compiled material</x:v>
      </x:c>
      <x:c r="K64" s="21" t="str">
        <x:v>Color maps use sRGB; normal, masks, and packed response maps use linear sampling.</x:v>
      </x:c>
      <x:c r="L64" s="21" t="str">
        <x:v>SRC-028: vt2-pusfume-1p/tools/pusfume_atlas_layout.json; SRC-027: vt2-pusfume-1p/tools/Build-NativePusfume.ps1; SRC-020: vt2-pusfume-1p/docs/ASSET_PIPELINE.md</x:v>
      </x:c>
      <x:c r="M64" s="21" t="str"/>
    </x:row>
    <x:row r="65" ht="46" customHeight="1">
      <x:c r="A65" s="24" t="str">
        <x:v>TEX-061</x:v>
      </x:c>
      <x:c r="B65" s="21" t="str">
        <x:v>Material integration</x:v>
      </x:c>
      <x:c r="C65" s="21" t="str">
        <x:v>Mip and edge padding</x:v>
      </x:c>
      <x:c r="D65" s="21" t="str">
        <x:v>Both</x:v>
      </x:c>
      <x:c r="E65" s="21" t="str">
        <x:v>Build pipeline</x:v>
      </x:c>
      <x:c r="F65" s="27" t="str">
        <x:v>Required</x:v>
      </x:c>
      <x:c r="G65" s="27" t="str">
        <x:v>P1</x:v>
      </x:c>
      <x:c r="H65" s="27" t="str">
        <x:v>Not Started</x:v>
      </x:c>
      <x:c r="I65" s="27" t="str">
        <x:v>Janfon</x:v>
      </x:c>
      <x:c r="J65" s="21" t="str">
        <x:v>Source maps + verified compiled material</x:v>
      </x:c>
      <x:c r="K65" s="21" t="str">
        <x:v>No seams or transparent halos at gameplay distance and reduced texture quality.</x:v>
      </x:c>
      <x:c r="L65" s="21" t="str">
        <x:v>SRC-028: vt2-pusfume-1p/tools/pusfume_atlas_layout.json; SRC-027: vt2-pusfume-1p/tools/Build-NativePusfume.ps1; SRC-020: vt2-pusfume-1p/docs/ASSET_PIPELINE.md</x:v>
      </x:c>
      <x:c r="M65" s="21" t="str"/>
    </x:row>
    <x:row r="66" ht="46" customHeight="1">
      <x:c r="A66" s="24" t="str">
        <x:v>TEX-062</x:v>
      </x:c>
      <x:c r="B66" s="21" t="str">
        <x:v>Material integration</x:v>
      </x:c>
      <x:c r="C66" s="21" t="str">
        <x:v>First/third-person consistency</x:v>
      </x:c>
      <x:c r="D66" s="21" t="str">
        <x:v>Both</x:v>
      </x:c>
      <x:c r="E66" s="21" t="str">
        <x:v>Build pipeline</x:v>
      </x:c>
      <x:c r="F66" s="27" t="str">
        <x:v>Required</x:v>
      </x:c>
      <x:c r="G66" s="27" t="str">
        <x:v>P1</x:v>
      </x:c>
      <x:c r="H66" s="27" t="str">
        <x:v>Not Started</x:v>
      </x:c>
      <x:c r="I66" s="27" t="str">
        <x:v>Janfon</x:v>
      </x:c>
      <x:c r="J66" s="21" t="str">
        <x:v>Source maps + verified compiled material</x:v>
      </x:c>
      <x:c r="K66" s="21" t="str">
        <x:v>Hands and body share matching skin values without duplicate conflicting source maps.</x:v>
      </x:c>
      <x:c r="L66" s="21" t="str">
        <x:v>SRC-028: vt2-pusfume-1p/tools/pusfume_atlas_layout.json; SRC-027: vt2-pusfume-1p/tools/Build-NativePusfume.ps1; SRC-020: vt2-pusfume-1p/docs/ASSET_PIPELINE.md</x:v>
      </x:c>
      <x:c r="M66" s="21" t="str"/>
    </x:row>
    <x:row r="67" ht="46" customHeight="1">
      <x:c r="A67" s="24" t="str">
        <x:v>TEX-063</x:v>
      </x:c>
      <x:c r="B67" s="21" t="str">
        <x:v>Texture QA</x:v>
      </x:c>
      <x:c r="C67" s="21" t="str">
        <x:v>Diffuse UV test grid</x:v>
      </x:c>
      <x:c r="D67" s="21" t="str">
        <x:v>Both</x:v>
      </x:c>
      <x:c r="E67" s="21" t="str">
        <x:v>Reference capture</x:v>
      </x:c>
      <x:c r="F67" s="27" t="str">
        <x:v>Required</x:v>
      </x:c>
      <x:c r="G67" s="27" t="str">
        <x:v>P2</x:v>
      </x:c>
      <x:c r="H67" s="27" t="str">
        <x:v>Not Started</x:v>
      </x:c>
      <x:c r="I67" s="27" t="str">
        <x:v>Janfon</x:v>
      </x:c>
      <x:c r="J67" s="21" t="str">
        <x:v>PNG comparison capture</x:v>
      </x:c>
      <x:c r="K67" s="21" t="str">
        <x:v>Clearly identifies pass/fail and build version; reusable for regression checks.</x:v>
      </x:c>
      <x:c r="L67" s="21" t="str">
        <x:v>SRC-021: vt2-pusfume-1p/docs/MODEL_HANDOFF.md; SRC-029: vt2-pusfume-1p/docs/NATIVE_CHARACTER_MILESTONE.md</x:v>
      </x:c>
      <x:c r="M67" s="21" t="str"/>
    </x:row>
    <x:row r="68" ht="46" customHeight="1">
      <x:c r="A68" s="24" t="str">
        <x:v>TEX-064</x:v>
      </x:c>
      <x:c r="B68" s="21" t="str">
        <x:v>Texture QA</x:v>
      </x:c>
      <x:c r="C68" s="21" t="str">
        <x:v>Normal orientation sphere</x:v>
      </x:c>
      <x:c r="D68" s="21" t="str">
        <x:v>Both</x:v>
      </x:c>
      <x:c r="E68" s="21" t="str">
        <x:v>Reference capture</x:v>
      </x:c>
      <x:c r="F68" s="27" t="str">
        <x:v>Required</x:v>
      </x:c>
      <x:c r="G68" s="27" t="str">
        <x:v>P2</x:v>
      </x:c>
      <x:c r="H68" s="27" t="str">
        <x:v>Not Started</x:v>
      </x:c>
      <x:c r="I68" s="27" t="str">
        <x:v>Janfon</x:v>
      </x:c>
      <x:c r="J68" s="21" t="str">
        <x:v>PNG comparison capture</x:v>
      </x:c>
      <x:c r="K68" s="21" t="str">
        <x:v>Clearly identifies pass/fail and build version; reusable for regression checks.</x:v>
      </x:c>
      <x:c r="L68" s="21" t="str">
        <x:v>SRC-021: vt2-pusfume-1p/docs/MODEL_HANDOFF.md; SRC-029: vt2-pusfume-1p/docs/NATIVE_CHARACTER_MILESTONE.md</x:v>
      </x:c>
      <x:c r="M68" s="21" t="str"/>
    </x:row>
    <x:row r="69" ht="46" customHeight="1">
      <x:c r="A69" s="24" t="str">
        <x:v>TEX-065</x:v>
      </x:c>
      <x:c r="B69" s="21" t="str">
        <x:v>Texture QA</x:v>
      </x:c>
      <x:c r="C69" s="21" t="str">
        <x:v>Alpha-card lighting test</x:v>
      </x:c>
      <x:c r="D69" s="21" t="str">
        <x:v>Both</x:v>
      </x:c>
      <x:c r="E69" s="21" t="str">
        <x:v>Reference capture</x:v>
      </x:c>
      <x:c r="F69" s="27" t="str">
        <x:v>Required</x:v>
      </x:c>
      <x:c r="G69" s="27" t="str">
        <x:v>P2</x:v>
      </x:c>
      <x:c r="H69" s="27" t="str">
        <x:v>Not Started</x:v>
      </x:c>
      <x:c r="I69" s="27" t="str">
        <x:v>Janfon</x:v>
      </x:c>
      <x:c r="J69" s="21" t="str">
        <x:v>PNG comparison capture</x:v>
      </x:c>
      <x:c r="K69" s="21" t="str">
        <x:v>Clearly identifies pass/fail and build version; reusable for regression checks.</x:v>
      </x:c>
      <x:c r="L69" s="21" t="str">
        <x:v>SRC-021: vt2-pusfume-1p/docs/MODEL_HANDOFF.md; SRC-029: vt2-pusfume-1p/docs/NATIVE_CHARACTER_MILESTONE.md</x:v>
      </x:c>
      <x:c r="M69" s="21" t="str"/>
    </x:row>
    <x:row r="70" ht="46" customHeight="1">
      <x:c r="A70" s="24" t="str">
        <x:v>TEX-066</x:v>
      </x:c>
      <x:c r="B70" s="21" t="str">
        <x:v>Texture QA</x:v>
      </x:c>
      <x:c r="C70" s="21" t="str">
        <x:v>Dark keep lighting reference</x:v>
      </x:c>
      <x:c r="D70" s="21" t="str">
        <x:v>Both</x:v>
      </x:c>
      <x:c r="E70" s="21" t="str">
        <x:v>Reference capture</x:v>
      </x:c>
      <x:c r="F70" s="27" t="str">
        <x:v>Required</x:v>
      </x:c>
      <x:c r="G70" s="27" t="str">
        <x:v>P2</x:v>
      </x:c>
      <x:c r="H70" s="27" t="str">
        <x:v>Not Started</x:v>
      </x:c>
      <x:c r="I70" s="27" t="str">
        <x:v>Janfon</x:v>
      </x:c>
      <x:c r="J70" s="21" t="str">
        <x:v>PNG comparison capture</x:v>
      </x:c>
      <x:c r="K70" s="21" t="str">
        <x:v>Clearly identifies pass/fail and build version; reusable for regression checks.</x:v>
      </x:c>
      <x:c r="L70" s="21" t="str">
        <x:v>SRC-021: vt2-pusfume-1p/docs/MODEL_HANDOFF.md; SRC-029: vt2-pusfume-1p/docs/NATIVE_CHARACTER_MILESTONE.md</x:v>
      </x:c>
      <x:c r="M70" s="21" t="str"/>
    </x:row>
    <x:row r="71" ht="46" customHeight="1">
      <x:c r="A71" s="24" t="str">
        <x:v>TEX-067</x:v>
      </x:c>
      <x:c r="B71" s="21" t="str">
        <x:v>Texture QA</x:v>
      </x:c>
      <x:c r="C71" s="21" t="str">
        <x:v>Bright hero-view lighting reference</x:v>
      </x:c>
      <x:c r="D71" s="21" t="str">
        <x:v>Both</x:v>
      </x:c>
      <x:c r="E71" s="21" t="str">
        <x:v>Reference capture</x:v>
      </x:c>
      <x:c r="F71" s="27" t="str">
        <x:v>Required</x:v>
      </x:c>
      <x:c r="G71" s="27" t="str">
        <x:v>P2</x:v>
      </x:c>
      <x:c r="H71" s="27" t="str">
        <x:v>Not Started</x:v>
      </x:c>
      <x:c r="I71" s="27" t="str">
        <x:v>Janfon</x:v>
      </x:c>
      <x:c r="J71" s="21" t="str">
        <x:v>PNG comparison capture</x:v>
      </x:c>
      <x:c r="K71" s="21" t="str">
        <x:v>Clearly identifies pass/fail and build version; reusable for regression checks.</x:v>
      </x:c>
      <x:c r="L71" s="21" t="str">
        <x:v>SRC-021: vt2-pusfume-1p/docs/MODEL_HANDOFF.md; SRC-029: vt2-pusfume-1p/docs/NATIVE_CHARACTER_MILESTONE.md</x:v>
      </x:c>
      <x:c r="M71" s="21" t="str"/>
    </x:row>
    <x:row r="72" ht="46" customHeight="1">
      <x:c r="A72" s="24" t="str">
        <x:v>TEX-068</x:v>
      </x:c>
      <x:c r="B72" s="21" t="str">
        <x:v>Texture QA</x:v>
      </x:c>
      <x:c r="C72" s="21" t="str">
        <x:v>Colorblind/readability reference</x:v>
      </x:c>
      <x:c r="D72" s="21" t="str">
        <x:v>Both</x:v>
      </x:c>
      <x:c r="E72" s="21" t="str">
        <x:v>Reference capture</x:v>
      </x:c>
      <x:c r="F72" s="27" t="str">
        <x:v>Required</x:v>
      </x:c>
      <x:c r="G72" s="27" t="str">
        <x:v>P2</x:v>
      </x:c>
      <x:c r="H72" s="27" t="str">
        <x:v>Not Started</x:v>
      </x:c>
      <x:c r="I72" s="27" t="str">
        <x:v>Janfon</x:v>
      </x:c>
      <x:c r="J72" s="21" t="str">
        <x:v>PNG comparison capture</x:v>
      </x:c>
      <x:c r="K72" s="21" t="str">
        <x:v>Clearly identifies pass/fail and build version; reusable for regression checks.</x:v>
      </x:c>
      <x:c r="L72" s="21" t="str">
        <x:v>SRC-021: vt2-pusfume-1p/docs/MODEL_HANDOFF.md; SRC-029: vt2-pusfume-1p/docs/NATIVE_CHARACTER_MILESTONE.md</x:v>
      </x:c>
      <x:c r="M72" s="21" t="str"/>
    </x:row>
    <x:row r="73" ht="46" customHeight="1">
      <x:c r="A73" s="24" t="str">
        <x:v>TEX-069</x:v>
      </x:c>
      <x:c r="B73" s="21" t="str">
        <x:v>Texture QA</x:v>
      </x:c>
      <x:c r="C73" s="21" t="str">
        <x:v>Texture compression comparison</x:v>
      </x:c>
      <x:c r="D73" s="21" t="str">
        <x:v>Both</x:v>
      </x:c>
      <x:c r="E73" s="21" t="str">
        <x:v>Reference capture</x:v>
      </x:c>
      <x:c r="F73" s="27" t="str">
        <x:v>Required</x:v>
      </x:c>
      <x:c r="G73" s="27" t="str">
        <x:v>P2</x:v>
      </x:c>
      <x:c r="H73" s="27" t="str">
        <x:v>Not Started</x:v>
      </x:c>
      <x:c r="I73" s="27" t="str">
        <x:v>Janfon</x:v>
      </x:c>
      <x:c r="J73" s="21" t="str">
        <x:v>PNG comparison capture</x:v>
      </x:c>
      <x:c r="K73" s="21" t="str">
        <x:v>Clearly identifies pass/fail and build version; reusable for regression checks.</x:v>
      </x:c>
      <x:c r="L73" s="21" t="str">
        <x:v>SRC-021: vt2-pusfume-1p/docs/MODEL_HANDOFF.md; SRC-029: vt2-pusfume-1p/docs/NATIVE_CHARACTER_MILESTONE.md</x:v>
      </x:c>
      <x:c r="M73" s="21" t="str"/>
    </x:row>
    <x:row r="74" ht="46" customHeight="1">
      <x:c r="A74" s="25" t="str">
        <x:v>TEX-070</x:v>
      </x:c>
      <x:c r="B74" s="22" t="str">
        <x:v>Texture QA</x:v>
      </x:c>
      <x:c r="C74" s="22" t="str">
        <x:v>Seam/mipmap comparison</x:v>
      </x:c>
      <x:c r="D74" s="22" t="str">
        <x:v>Both</x:v>
      </x:c>
      <x:c r="E74" s="22" t="str">
        <x:v>Reference capture</x:v>
      </x:c>
      <x:c r="F74" s="28" t="str">
        <x:v>Required</x:v>
      </x:c>
      <x:c r="G74" s="28" t="str">
        <x:v>P2</x:v>
      </x:c>
      <x:c r="H74" s="28" t="str">
        <x:v>Not Started</x:v>
      </x:c>
      <x:c r="I74" s="28" t="str">
        <x:v>Janfon</x:v>
      </x:c>
      <x:c r="J74" s="22" t="str">
        <x:v>PNG comparison capture</x:v>
      </x:c>
      <x:c r="K74" s="22" t="str">
        <x:v>Clearly identifies pass/fail and build version; reusable for regression checks.</x:v>
      </x:c>
      <x:c r="L74" s="22" t="str">
        <x:v>SRC-021: vt2-pusfume-1p/docs/MODEL_HANDOFF.md; SRC-029: vt2-pusfume-1p/docs/NATIVE_CHARACTER_MILESTONE.md</x:v>
      </x:c>
      <x:c r="M74" s="22" t="str"/>
    </x:row>
  </x:sheetData>
  <x:mergeCells>
    <x:mergeCell ref="A1:M1"/>
    <x:mergeCell ref="A2:M2"/>
  </x:mergeCells>
  <x:conditionalFormatting sqref="H5:H74">
    <x:cfRule type="containsText" dxfId="12" priority="1" operator="containsText" text="Complete"/>
    <x:cfRule type="containsText" dxfId="13" priority="2" operator="containsText" text="In Progress"/>
    <x:cfRule type="containsText" dxfId="14" priority="3" operator="containsText" text="Prototype Ready"/>
    <x:cfRule type="containsText" dxfId="15" priority="4" operator="containsText" text="Blocked"/>
  </x:conditionalFormatting>
  <x:conditionalFormatting sqref="G5:G74">
    <x:cfRule type="containsText" dxfId="16" priority="5" operator="containsText" text="P0"/>
    <x:cfRule type="containsText" dxfId="17" priority="6" operator="containsText" text="P1"/>
  </x:conditionalFormatting>
  <x:dataValidations count="4">
    <x:dataValidation type="list" sqref="F5:F74">
      <x:formula1>"Required,Optional,Conditional"</x:formula1>
    </x:dataValidation>
    <x:dataValidation type="list" sqref="G5:G74">
      <x:formula1>"P0,P1,P2,P3"</x:formula1>
    </x:dataValidation>
    <x:dataValidation type="list" sqref="H5:H74">
      <x:formula1>"Not Started,In Progress,Ready for Review,Prototype Ready,Blocked,Complete,Not Applicable"</x:formula1>
    </x:dataValidation>
    <x:dataValidation type="list" sqref="I5:I74">
      <x:formula1>"Janfon,Engineering,Audio,VFX,Design,QA,Janfon + Engineering,Unassigned"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e073b9e65a44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6" hidden="0" customWidth="1"/>
    <x:col min="5" max="5" width="25" hidden="0" customWidth="1"/>
    <x:col min="6" max="6" width="14" hidden="0" customWidth="1"/>
    <x:col min="7" max="7" width="12" hidden="0" customWidth="1"/>
    <x:col min="8" max="8" width="19" hidden="0" customWidth="1"/>
    <x:col min="9" max="9" width="20" hidden="0" customWidth="1"/>
    <x:col min="10" max="10" width="31" hidden="0" customWidth="1"/>
    <x:col min="11" max="11" width="58" hidden="0" customWidth="1"/>
    <x:col min="12" max="12" width="58" hidden="0" customWidth="1"/>
    <x:col min="13" max="13" width="44" hidden="0" customWidth="1"/>
  </x:cols>
  <x:sheetData>
    <x:row r="1" ht="34" customHeight="1">
      <x:c r="A1" s="3" t="str">
        <x:v>UI, Portraits &amp; Icons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Hero-select, HUD, career identity, talents, quests, career interactions, Workshop presentation, and localization-safe assets.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ID</x:v>
      </x:c>
      <x:c r="B4" s="12" t="str">
        <x:v>Workstream</x:v>
      </x:c>
      <x:c r="C4" s="12" t="str">
        <x:v>Asset / Motion</x:v>
      </x:c>
      <x:c r="D4" s="12" t="str">
        <x:v>Perspective</x:v>
      </x:c>
      <x:c r="E4" s="12" t="str">
        <x:v>Variant / Direction</x:v>
      </x:c>
      <x:c r="F4" s="12" t="str">
        <x:v>Requirement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Deliverable / Format</x:v>
      </x:c>
      <x:c r="K4" s="12" t="str">
        <x:v>Acceptance Criteria</x:v>
      </x:c>
      <x:c r="L4" s="12" t="str">
        <x:v>VT2 Source Reference</x:v>
      </x:c>
      <x:c r="M4" s="12" t="str">
        <x:v>Notes</x:v>
      </x:c>
    </x:row>
    <x:row r="5" ht="46" customHeight="1">
      <x:c r="A5" s="23" t="str">
        <x:v>UI-001</x:v>
      </x:c>
      <x:c r="B5" s="20" t="str">
        <x:v>Portrait</x:v>
      </x:c>
      <x:c r="C5" s="20" t="str">
        <x:v>Hero-select picking portrait</x:v>
      </x:c>
      <x:c r="D5" s="20" t="str">
        <x:v>Hero select</x:v>
      </x:c>
      <x:c r="E5" s="20" t="str">
        <x:v>picking_portrait_pusfume</x:v>
      </x:c>
      <x:c r="F5" s="26" t="str">
        <x:v>Required</x:v>
      </x:c>
      <x:c r="G5" s="26" t="str">
        <x:v>P0</x:v>
      </x:c>
      <x:c r="H5" s="26" t="str">
        <x:v>Not Started</x:v>
      </x:c>
      <x:c r="I5" s="26" t="str">
        <x:v>Janfon</x:v>
      </x:c>
      <x:c r="J5" s="20" t="str">
        <x:v>Atlas-ready PNG</x:v>
      </x:c>
      <x:c r="K5" s="20" t="str">
        <x:v>Clickable portrait uses supplied Pusfume art, correct frame/mask, and no crop clipping.</x:v>
      </x:c>
      <x:c r="L5" s="20" t="str">
        <x:v>SRC-004: scripts/settings/profiles/career_settings.lua</x:v>
      </x:c>
      <x:c r="M5" s="20" t="str"/>
    </x:row>
    <x:row r="6" ht="46" customHeight="1">
      <x:c r="A6" s="24" t="str">
        <x:v>UI-002</x:v>
      </x:c>
      <x:c r="B6" s="21" t="str">
        <x:v>Portrait</x:v>
      </x:c>
      <x:c r="C6" s="21" t="str">
        <x:v>HUD unit-frame portrait</x:v>
      </x:c>
      <x:c r="D6" s="21" t="str">
        <x:v>HUD</x:v>
      </x:c>
      <x:c r="E6" s="21" t="str">
        <x:v>86x108 mask target</x:v>
      </x:c>
      <x:c r="F6" s="27" t="str">
        <x:v>Required</x:v>
      </x:c>
      <x:c r="G6" s="27" t="str">
        <x:v>P0</x:v>
      </x:c>
      <x:c r="H6" s="27" t="str">
        <x:v>Not Started</x:v>
      </x:c>
      <x:c r="I6" s="27" t="str">
        <x:v>Janfon</x:v>
      </x:c>
      <x:c r="J6" s="21" t="str">
        <x:v>Transparent PNG / atlas source</x:v>
      </x:c>
      <x:c r="K6" s="21" t="str">
        <x:v>Face remains readable at gameplay scale; alpha follows vanilla unit-frame mask.</x:v>
      </x:c>
      <x:c r="L6" s="21" t="str">
        <x:v>SRC-024: vt2-pusfume-1p/tools/Build-PusfumePortrait.ps1</x:v>
      </x:c>
      <x:c r="M6" s="21" t="str"/>
    </x:row>
    <x:row r="7" ht="46" customHeight="1">
      <x:c r="A7" s="24" t="str">
        <x:v>UI-003</x:v>
      </x:c>
      <x:c r="B7" s="21" t="str">
        <x:v>Portrait</x:v>
      </x:c>
      <x:c r="C7" s="21" t="str">
        <x:v>Small/party portrait</x:v>
      </x:c>
      <x:c r="D7" s="21" t="str">
        <x:v>HUD</x:v>
      </x:c>
      <x:c r="E7" s="21" t="str">
        <x:v>60x70 mask target</x:v>
      </x:c>
      <x:c r="F7" s="27" t="str">
        <x:v>Required</x:v>
      </x:c>
      <x:c r="G7" s="27" t="str">
        <x:v>P0</x:v>
      </x:c>
      <x:c r="H7" s="27" t="str">
        <x:v>Not Started</x:v>
      </x:c>
      <x:c r="I7" s="27" t="str">
        <x:v>Janfon</x:v>
      </x:c>
      <x:c r="J7" s="21" t="str">
        <x:v>Transparent PNG / atlas source</x:v>
      </x:c>
      <x:c r="K7" s="21" t="str">
        <x:v>Readable in compact team frames, scoreboard, and spectator contexts.</x:v>
      </x:c>
      <x:c r="L7" s="21" t="str">
        <x:v>SRC-024: vt2-pusfume-1p/tools/Build-PusfumePortrait.ps1</x:v>
      </x:c>
      <x:c r="M7" s="21" t="str"/>
    </x:row>
    <x:row r="8" ht="46" customHeight="1">
      <x:c r="A8" s="24" t="str">
        <x:v>UI-004</x:v>
      </x:c>
      <x:c r="B8" s="21" t="str">
        <x:v>Portrait</x:v>
      </x:c>
      <x:c r="C8" s="21" t="str">
        <x:v>Downed/dead portrait treatment</x:v>
      </x:c>
      <x:c r="D8" s="21" t="str">
        <x:v>HUD</x:v>
      </x:c>
      <x:c r="E8" s="21" t="str">
        <x:v>State overlay safe</x:v>
      </x:c>
      <x:c r="F8" s="27" t="str">
        <x:v>Required</x:v>
      </x:c>
      <x:c r="G8" s="27" t="str">
        <x:v>P1</x:v>
      </x:c>
      <x:c r="H8" s="27" t="str">
        <x:v>Not Started</x:v>
      </x:c>
      <x:c r="I8" s="27" t="str">
        <x:v>Janfon</x:v>
      </x:c>
      <x:c r="J8" s="21" t="str">
        <x:v>Portrait variant or overlay-safe base</x:v>
      </x:c>
      <x:c r="K8" s="21" t="str">
        <x:v>Vanilla downed/dead overlays remain legible and do not obscure identity.</x:v>
      </x:c>
      <x:c r="L8" s="21" t="str">
        <x:v>SRC-010: scripts/ui/hud_ui/</x:v>
      </x:c>
      <x:c r="M8" s="21" t="str"/>
    </x:row>
    <x:row r="9" ht="46" customHeight="1">
      <x:c r="A9" s="24" t="str">
        <x:v>UI-005</x:v>
      </x:c>
      <x:c r="B9" s="21" t="str">
        <x:v>Career identity</x:v>
      </x:c>
      <x:c r="C9" s="21" t="str">
        <x:v>Career icon</x:v>
      </x:c>
      <x:c r="D9" s="21" t="str">
        <x:v>Menus/HUD</x:v>
      </x:c>
      <x:c r="E9" s="21" t="str">
        <x:v>Under-Empire Reject</x:v>
      </x:c>
      <x:c r="F9" s="27" t="str">
        <x:v>Required</x:v>
      </x:c>
      <x:c r="G9" s="27" t="str">
        <x:v>P0</x:v>
      </x:c>
      <x:c r="H9" s="27" t="str">
        <x:v>Not Started</x:v>
      </x:c>
      <x:c r="I9" s="27" t="str">
        <x:v>Janfon</x:v>
      </x:c>
      <x:c r="J9" s="21" t="str">
        <x:v>Monochrome + color atlas sources</x:v>
      </x:c>
      <x:c r="K9" s="21" t="str">
        <x:v>Legible at small size and visually distinct from Bardin and Versus enemy icons.</x:v>
      </x:c>
      <x:c r="L9" s="21" t="str">
        <x:v>SRC-004: scripts/settings/profiles/career_settings.lua; SRC-011: scripts/ui/views/hero_view/</x:v>
      </x:c>
      <x:c r="M9" s="21" t="str"/>
    </x:row>
    <x:row r="10" ht="46" customHeight="1">
      <x:c r="A10" s="24" t="str">
        <x:v>UI-006</x:v>
      </x:c>
      <x:c r="B10" s="21" t="str">
        <x:v>Career identity</x:v>
      </x:c>
      <x:c r="C10" s="21" t="str">
        <x:v>Hero-select slot ornament/state</x:v>
      </x:c>
      <x:c r="D10" s="21" t="str">
        <x:v>Hero select</x:v>
      </x:c>
      <x:c r="E10" s="21" t="str">
        <x:v>Normal/hover/selected/disabled</x:v>
      </x:c>
      <x:c r="F10" s="27" t="str">
        <x:v>Required</x:v>
      </x:c>
      <x:c r="G10" s="27" t="str">
        <x:v>P0</x:v>
      </x:c>
      <x:c r="H10" s="27" t="str">
        <x:v>Not Started</x:v>
      </x:c>
      <x:c r="I10" s="27" t="str">
        <x:v>Janfon</x:v>
      </x:c>
      <x:c r="J10" s="21" t="str">
        <x:v>Atlas-ready icon states</x:v>
      </x:c>
      <x:c r="K10" s="21" t="str">
        <x:v>Selection, hover, focus, gamepad navigation, and unavailable state are visually clear at 1080p UI coordinates and 4K render.</x:v>
      </x:c>
      <x:c r="L10" s="21" t="str">
        <x:v>SRC-011: scripts/ui/views/hero_view/</x:v>
      </x:c>
      <x:c r="M10" s="21" t="str"/>
    </x:row>
    <x:row r="11" ht="46" customHeight="1">
      <x:c r="A11" s="24" t="str">
        <x:v>UI-007</x:v>
      </x:c>
      <x:c r="B11" s="21" t="str">
        <x:v>Career identity</x:v>
      </x:c>
      <x:c r="C11" s="21" t="str">
        <x:v>Friends-only TEST Workshop thumbnail</x:v>
      </x:c>
      <x:c r="D11" s="21" t="str">
        <x:v>Steam Workshop</x:v>
      </x:c>
      <x:c r="E11" s="21" t="str">
        <x:v>TEST</x:v>
      </x:c>
      <x:c r="F11" s="27" t="str">
        <x:v>Required</x:v>
      </x:c>
      <x:c r="G11" s="27" t="str">
        <x:v>P0</x:v>
      </x:c>
      <x:c r="H11" s="27" t="str">
        <x:v>Not Started</x:v>
      </x:c>
      <x:c r="I11" s="27" t="str">
        <x:v>Janfon</x:v>
      </x:c>
      <x:c r="J11" s="21" t="str">
        <x:v>Steam-ready PNG/JPG</x:v>
      </x:c>
      <x:c r="K11" s="21" t="str">
        <x:v>Clearly communicates development status without obscuring mod identity.</x:v>
      </x:c>
      <x:c r="L11" s="21" t="str">
        <x:v>SRC-020: vt2-pusfume-1p/docs/ASSET_PIPELINE.md</x:v>
      </x:c>
      <x:c r="M11" s="21" t="str"/>
    </x:row>
    <x:row r="12" ht="46" customHeight="1">
      <x:c r="A12" s="24" t="str">
        <x:v>UI-008</x:v>
      </x:c>
      <x:c r="B12" s="21" t="str">
        <x:v>Ability</x:v>
      </x:c>
      <x:c r="C12" s="21" t="str">
        <x:v>Skaven Ingenuity career skill icon</x:v>
      </x:c>
      <x:c r="D12" s="21" t="str">
        <x:v>HUD/talents</x:v>
      </x:c>
      <x:c r="E12" s="21" t="str">
        <x:v>Ready/cooldown</x:v>
      </x:c>
      <x:c r="F12" s="27" t="str">
        <x:v>Required</x:v>
      </x:c>
      <x:c r="G12" s="27" t="str">
        <x:v>P0</x:v>
      </x:c>
      <x:c r="H12" s="27" t="str">
        <x:v>Not Started</x:v>
      </x:c>
      <x:c r="I12" s="27" t="str">
        <x:v>Janfon</x:v>
      </x:c>
      <x:c r="J12" s="21" t="str">
        <x:v>Atlas-ready icon</x:v>
      </x:c>
      <x:c r="K12" s="21" t="str">
        <x:v>Reads as bag/crafting ability; cooldown fill and key prompt remain legible.</x:v>
      </x:c>
      <x:c r="L12" s="21" t="str">
        <x:v>SRC-017: scripts/ui/hud_ui/ability_ui.lua and career_ability_bar_ui.lua</x:v>
      </x:c>
      <x:c r="M12" s="21" t="str"/>
    </x:row>
    <x:row r="13" ht="46" customHeight="1">
      <x:c r="A13" s="24" t="str">
        <x:v>UI-009</x:v>
      </x:c>
      <x:c r="B13" s="21" t="str">
        <x:v>Passive</x:v>
      </x:c>
      <x:c r="C13" s="21" t="str">
        <x:v>The Great Scheme icon</x:v>
      </x:c>
      <x:c r="D13" s="21" t="str">
        <x:v>Talents/HUD</x:v>
      </x:c>
      <x:c r="E13" s="21" t="str">
        <x:v>Quest system</x:v>
      </x:c>
      <x:c r="F13" s="27" t="str">
        <x:v>Required</x:v>
      </x:c>
      <x:c r="G13" s="27" t="str">
        <x:v>P0</x:v>
      </x:c>
      <x:c r="H13" s="27" t="str">
        <x:v>Not Started</x:v>
      </x:c>
      <x:c r="I13" s="27" t="str">
        <x:v>Janfon</x:v>
      </x:c>
      <x:c r="J13" s="21" t="str">
        <x:v>Atlas-ready icon</x:v>
      </x:c>
      <x:c r="K13" s="21" t="str">
        <x:v>Distinct from career skill and supports quest panel display.</x:v>
      </x:c>
      <x:c r="L13" s="21" t="str">
        <x:v>SRC-022: vt2-pusfume-1p/docs/PUSFUME_CAREER_SPEC_V2.md</x:v>
      </x:c>
      <x:c r="M13" s="21" t="str"/>
    </x:row>
    <x:row r="14" ht="46" customHeight="1">
      <x:c r="A14" s="24" t="str">
        <x:v>UI-010</x:v>
      </x:c>
      <x:c r="B14" s="21" t="str">
        <x:v>Perk</x:v>
      </x:c>
      <x:c r="C14" s="21" t="str">
        <x:v>Hell Pit Native icon</x:v>
      </x:c>
      <x:c r="D14" s="21" t="str">
        <x:v>Talents/HUD</x:v>
      </x:c>
      <x:c r="E14" s="21" t="str">
        <x:v>Poison immunity</x:v>
      </x:c>
      <x:c r="F14" s="27" t="str">
        <x:v>Required</x:v>
      </x:c>
      <x:c r="G14" s="27" t="str">
        <x:v>P1</x:v>
      </x:c>
      <x:c r="H14" s="27" t="str">
        <x:v>Not Started</x:v>
      </x:c>
      <x:c r="I14" s="27" t="str">
        <x:v>Janfon</x:v>
      </x:c>
      <x:c r="J14" s="21" t="str">
        <x:v>Atlas-ready icon</x:v>
      </x:c>
      <x:c r="K14" s="21" t="str">
        <x:v>Communicates poison/gas immunity without relying on text.</x:v>
      </x:c>
      <x:c r="L14" s="21" t="str">
        <x:v>SRC-022: vt2-pusfume-1p/docs/PUSFUME_CAREER_SPEC_V2.md</x:v>
      </x:c>
      <x:c r="M14" s="21" t="str"/>
    </x:row>
    <x:row r="15" ht="46" customHeight="1">
      <x:c r="A15" s="24" t="str">
        <x:v>UI-011</x:v>
      </x:c>
      <x:c r="B15" s="21" t="str">
        <x:v>Perk</x:v>
      </x:c>
      <x:c r="C15" s="21" t="str">
        <x:v>Scaredy-rat icon</x:v>
      </x:c>
      <x:c r="D15" s="21" t="str">
        <x:v>Talents/HUD</x:v>
      </x:c>
      <x:c r="E15" s="21" t="str">
        <x:v>Speed after damage</x:v>
      </x:c>
      <x:c r="F15" s="27" t="str">
        <x:v>Required</x:v>
      </x:c>
      <x:c r="G15" s="27" t="str">
        <x:v>P1</x:v>
      </x:c>
      <x:c r="H15" s="27" t="str">
        <x:v>Not Started</x:v>
      </x:c>
      <x:c r="I15" s="27" t="str">
        <x:v>Janfon</x:v>
      </x:c>
      <x:c r="J15" s="21" t="str">
        <x:v>Atlas-ready icon</x:v>
      </x:c>
      <x:c r="K15" s="21" t="str">
        <x:v>Communicates panic/speed and remains readable as a timed buff icon.</x:v>
      </x:c>
      <x:c r="L15" s="21" t="str">
        <x:v>SRC-022: vt2-pusfume-1p/docs/PUSFUME_CAREER_SPEC_V2.md</x:v>
      </x:c>
      <x:c r="M15" s="21" t="str"/>
    </x:row>
    <x:row r="16" ht="46" customHeight="1">
      <x:c r="A16" s="24" t="str">
        <x:v>UI-012</x:v>
      </x:c>
      <x:c r="B16" s="21" t="str">
        <x:v>Perk</x:v>
      </x:c>
      <x:c r="C16" s="21" t="str">
        <x:v>Insider Knowledge icon</x:v>
      </x:c>
      <x:c r="D16" s="21" t="str">
        <x:v>Talents/HUD</x:v>
      </x:c>
      <x:c r="E16" s="21" t="str">
        <x:v>Team Skaven vulnerability</x:v>
      </x:c>
      <x:c r="F16" s="27" t="str">
        <x:v>Required</x:v>
      </x:c>
      <x:c r="G16" s="27" t="str">
        <x:v>P1</x:v>
      </x:c>
      <x:c r="H16" s="27" t="str">
        <x:v>Not Started</x:v>
      </x:c>
      <x:c r="I16" s="27" t="str">
        <x:v>Janfon</x:v>
      </x:c>
      <x:c r="J16" s="21" t="str">
        <x:v>Atlas-ready icon</x:v>
      </x:c>
      <x:c r="K16" s="21" t="str">
        <x:v>Communicates team-wide knowledge/debuff and distinguishes Skaven target scope.</x:v>
      </x:c>
      <x:c r="L16" s="21" t="str">
        <x:v>SRC-022: vt2-pusfume-1p/docs/PUSFUME_CAREER_SPEC_V2.md</x:v>
      </x:c>
      <x:c r="M16" s="21" t="str"/>
    </x:row>
    <x:row r="17" ht="46" customHeight="1">
      <x:c r="A17" s="24" t="str">
        <x:v>UI-013</x:v>
      </x:c>
      <x:c r="B17" s="21" t="str">
        <x:v>Talent</x:v>
      </x:c>
      <x:c r="C17" s="21" t="str">
        <x:v>Talent icon T1-1</x:v>
      </x:c>
      <x:c r="D17" s="21" t="str">
        <x:v>Talent grid</x:v>
      </x:c>
      <x:c r="E17" s="21" t="str">
        <x:v>Tier 1, choice 1</x:v>
      </x:c>
      <x:c r="F17" s="27" t="str">
        <x:v>Required</x:v>
      </x:c>
      <x:c r="G17" s="27" t="str">
        <x:v>P1</x:v>
      </x:c>
      <x:c r="H17" s="27" t="str">
        <x:v>Not Started</x:v>
      </x:c>
      <x:c r="I17" s="27" t="str">
        <x:v>Janfon</x:v>
      </x:c>
      <x:c r="J17" s="21" t="str">
        <x:v>Atlas-ready icon + layered source</x:v>
      </x:c>
      <x:c r="K17" s="21" t="str">
        <x:v>Unique silhouette at talent-grid size; supports selected, hovered, locked, and equipped presentation.</x:v>
      </x:c>
      <x:c r="L17" s="21" t="str">
        <x:v>SRC-012: scripts/managers/talents/ and scripts/ui/views/hero_view/windows/hero_window_talents.lua</x:v>
      </x:c>
      <x:c r="M17" s="21" t="str"/>
    </x:row>
    <x:row r="18" ht="46" customHeight="1">
      <x:c r="A18" s="24" t="str">
        <x:v>UI-014</x:v>
      </x:c>
      <x:c r="B18" s="21" t="str">
        <x:v>Talent</x:v>
      </x:c>
      <x:c r="C18" s="21" t="str">
        <x:v>Talent icon T1-2</x:v>
      </x:c>
      <x:c r="D18" s="21" t="str">
        <x:v>Talent grid</x:v>
      </x:c>
      <x:c r="E18" s="21" t="str">
        <x:v>Tier 1, choice 2</x:v>
      </x:c>
      <x:c r="F18" s="27" t="str">
        <x:v>Required</x:v>
      </x:c>
      <x:c r="G18" s="27" t="str">
        <x:v>P1</x:v>
      </x:c>
      <x:c r="H18" s="27" t="str">
        <x:v>Not Started</x:v>
      </x:c>
      <x:c r="I18" s="27" t="str">
        <x:v>Janfon</x:v>
      </x:c>
      <x:c r="J18" s="21" t="str">
        <x:v>Atlas-ready icon + layered source</x:v>
      </x:c>
      <x:c r="K18" s="21" t="str">
        <x:v>Unique silhouette at talent-grid size; supports selected, hovered, locked, and equipped presentation.</x:v>
      </x:c>
      <x:c r="L18" s="21" t="str">
        <x:v>SRC-012: scripts/managers/talents/ and scripts/ui/views/hero_view/windows/hero_window_talents.lua</x:v>
      </x:c>
      <x:c r="M18" s="21" t="str"/>
    </x:row>
    <x:row r="19" ht="46" customHeight="1">
      <x:c r="A19" s="24" t="str">
        <x:v>UI-015</x:v>
      </x:c>
      <x:c r="B19" s="21" t="str">
        <x:v>Talent</x:v>
      </x:c>
      <x:c r="C19" s="21" t="str">
        <x:v>Talent icon T1-3</x:v>
      </x:c>
      <x:c r="D19" s="21" t="str">
        <x:v>Talent grid</x:v>
      </x:c>
      <x:c r="E19" s="21" t="str">
        <x:v>Tier 1, choice 3</x:v>
      </x:c>
      <x:c r="F19" s="27" t="str">
        <x:v>Required</x:v>
      </x:c>
      <x:c r="G19" s="27" t="str">
        <x:v>P1</x:v>
      </x:c>
      <x:c r="H19" s="27" t="str">
        <x:v>Not Started</x:v>
      </x:c>
      <x:c r="I19" s="27" t="str">
        <x:v>Janfon</x:v>
      </x:c>
      <x:c r="J19" s="21" t="str">
        <x:v>Atlas-ready icon + layered source</x:v>
      </x:c>
      <x:c r="K19" s="21" t="str">
        <x:v>Unique silhouette at talent-grid size; supports selected, hovered, locked, and equipped presentation.</x:v>
      </x:c>
      <x:c r="L19" s="21" t="str">
        <x:v>SRC-012: scripts/managers/talents/ and scripts/ui/views/hero_view/windows/hero_window_talents.lua</x:v>
      </x:c>
      <x:c r="M19" s="21" t="str"/>
    </x:row>
    <x:row r="20" ht="46" customHeight="1">
      <x:c r="A20" s="24" t="str">
        <x:v>UI-016</x:v>
      </x:c>
      <x:c r="B20" s="21" t="str">
        <x:v>Talent</x:v>
      </x:c>
      <x:c r="C20" s="21" t="str">
        <x:v>Talent icon T2-1</x:v>
      </x:c>
      <x:c r="D20" s="21" t="str">
        <x:v>Talent grid</x:v>
      </x:c>
      <x:c r="E20" s="21" t="str">
        <x:v>Tier 2, choice 1</x:v>
      </x:c>
      <x:c r="F20" s="27" t="str">
        <x:v>Required</x:v>
      </x:c>
      <x:c r="G20" s="27" t="str">
        <x:v>P1</x:v>
      </x:c>
      <x:c r="H20" s="27" t="str">
        <x:v>Not Started</x:v>
      </x:c>
      <x:c r="I20" s="27" t="str">
        <x:v>Janfon</x:v>
      </x:c>
      <x:c r="J20" s="21" t="str">
        <x:v>Atlas-ready icon + layered source</x:v>
      </x:c>
      <x:c r="K20" s="21" t="str">
        <x:v>Unique silhouette at talent-grid size; supports selected, hovered, locked, and equipped presentation.</x:v>
      </x:c>
      <x:c r="L20" s="21" t="str">
        <x:v>SRC-012: scripts/managers/talents/ and scripts/ui/views/hero_view/windows/hero_window_talents.lua</x:v>
      </x:c>
      <x:c r="M20" s="21" t="str"/>
    </x:row>
    <x:row r="21" ht="46" customHeight="1">
      <x:c r="A21" s="24" t="str">
        <x:v>UI-017</x:v>
      </x:c>
      <x:c r="B21" s="21" t="str">
        <x:v>Talent</x:v>
      </x:c>
      <x:c r="C21" s="21" t="str">
        <x:v>Talent icon T2-2</x:v>
      </x:c>
      <x:c r="D21" s="21" t="str">
        <x:v>Talent grid</x:v>
      </x:c>
      <x:c r="E21" s="21" t="str">
        <x:v>Tier 2, choice 2</x:v>
      </x:c>
      <x:c r="F21" s="27" t="str">
        <x:v>Required</x:v>
      </x:c>
      <x:c r="G21" s="27" t="str">
        <x:v>P1</x:v>
      </x:c>
      <x:c r="H21" s="27" t="str">
        <x:v>Not Started</x:v>
      </x:c>
      <x:c r="I21" s="27" t="str">
        <x:v>Janfon</x:v>
      </x:c>
      <x:c r="J21" s="21" t="str">
        <x:v>Atlas-ready icon + layered source</x:v>
      </x:c>
      <x:c r="K21" s="21" t="str">
        <x:v>Unique silhouette at talent-grid size; supports selected, hovered, locked, and equipped presentation.</x:v>
      </x:c>
      <x:c r="L21" s="21" t="str">
        <x:v>SRC-012: scripts/managers/talents/ and scripts/ui/views/hero_view/windows/hero_window_talents.lua</x:v>
      </x:c>
      <x:c r="M21" s="21" t="str"/>
    </x:row>
    <x:row r="22" ht="46" customHeight="1">
      <x:c r="A22" s="24" t="str">
        <x:v>UI-018</x:v>
      </x:c>
      <x:c r="B22" s="21" t="str">
        <x:v>Talent</x:v>
      </x:c>
      <x:c r="C22" s="21" t="str">
        <x:v>Talent icon T2-3</x:v>
      </x:c>
      <x:c r="D22" s="21" t="str">
        <x:v>Talent grid</x:v>
      </x:c>
      <x:c r="E22" s="21" t="str">
        <x:v>Tier 2, choice 3</x:v>
      </x:c>
      <x:c r="F22" s="27" t="str">
        <x:v>Required</x:v>
      </x:c>
      <x:c r="G22" s="27" t="str">
        <x:v>P1</x:v>
      </x:c>
      <x:c r="H22" s="27" t="str">
        <x:v>Not Started</x:v>
      </x:c>
      <x:c r="I22" s="27" t="str">
        <x:v>Janfon</x:v>
      </x:c>
      <x:c r="J22" s="21" t="str">
        <x:v>Atlas-ready icon + layered source</x:v>
      </x:c>
      <x:c r="K22" s="21" t="str">
        <x:v>Unique silhouette at talent-grid size; supports selected, hovered, locked, and equipped presentation.</x:v>
      </x:c>
      <x:c r="L22" s="21" t="str">
        <x:v>SRC-012: scripts/managers/talents/ and scripts/ui/views/hero_view/windows/hero_window_talents.lua</x:v>
      </x:c>
      <x:c r="M22" s="21" t="str"/>
    </x:row>
    <x:row r="23" ht="46" customHeight="1">
      <x:c r="A23" s="24" t="str">
        <x:v>UI-019</x:v>
      </x:c>
      <x:c r="B23" s="21" t="str">
        <x:v>Talent</x:v>
      </x:c>
      <x:c r="C23" s="21" t="str">
        <x:v>Talent icon T3-1</x:v>
      </x:c>
      <x:c r="D23" s="21" t="str">
        <x:v>Talent grid</x:v>
      </x:c>
      <x:c r="E23" s="21" t="str">
        <x:v>Tier 3, choice 1</x:v>
      </x:c>
      <x:c r="F23" s="27" t="str">
        <x:v>Required</x:v>
      </x:c>
      <x:c r="G23" s="27" t="str">
        <x:v>P2</x:v>
      </x:c>
      <x:c r="H23" s="27" t="str">
        <x:v>Not Started</x:v>
      </x:c>
      <x:c r="I23" s="27" t="str">
        <x:v>Janfon</x:v>
      </x:c>
      <x:c r="J23" s="21" t="str">
        <x:v>Atlas-ready icon + layered source</x:v>
      </x:c>
      <x:c r="K23" s="21" t="str">
        <x:v>Unique silhouette at talent-grid size; supports selected, hovered, locked, and equipped presentation.</x:v>
      </x:c>
      <x:c r="L23" s="21" t="str">
        <x:v>SRC-012: scripts/managers/talents/ and scripts/ui/views/hero_view/windows/hero_window_talents.lua</x:v>
      </x:c>
      <x:c r="M23" s="21" t="str"/>
    </x:row>
    <x:row r="24" ht="46" customHeight="1">
      <x:c r="A24" s="24" t="str">
        <x:v>UI-020</x:v>
      </x:c>
      <x:c r="B24" s="21" t="str">
        <x:v>Talent</x:v>
      </x:c>
      <x:c r="C24" s="21" t="str">
        <x:v>Talent icon T3-2</x:v>
      </x:c>
      <x:c r="D24" s="21" t="str">
        <x:v>Talent grid</x:v>
      </x:c>
      <x:c r="E24" s="21" t="str">
        <x:v>Tier 3, choice 2</x:v>
      </x:c>
      <x:c r="F24" s="27" t="str">
        <x:v>Required</x:v>
      </x:c>
      <x:c r="G24" s="27" t="str">
        <x:v>P2</x:v>
      </x:c>
      <x:c r="H24" s="27" t="str">
        <x:v>Not Started</x:v>
      </x:c>
      <x:c r="I24" s="27" t="str">
        <x:v>Janfon</x:v>
      </x:c>
      <x:c r="J24" s="21" t="str">
        <x:v>Atlas-ready icon + layered source</x:v>
      </x:c>
      <x:c r="K24" s="21" t="str">
        <x:v>Unique silhouette at talent-grid size; supports selected, hovered, locked, and equipped presentation.</x:v>
      </x:c>
      <x:c r="L24" s="21" t="str">
        <x:v>SRC-012: scripts/managers/talents/ and scripts/ui/views/hero_view/windows/hero_window_talents.lua</x:v>
      </x:c>
      <x:c r="M24" s="21" t="str"/>
    </x:row>
    <x:row r="25" ht="46" customHeight="1">
      <x:c r="A25" s="24" t="str">
        <x:v>UI-021</x:v>
      </x:c>
      <x:c r="B25" s="21" t="str">
        <x:v>Talent</x:v>
      </x:c>
      <x:c r="C25" s="21" t="str">
        <x:v>Talent icon T3-3</x:v>
      </x:c>
      <x:c r="D25" s="21" t="str">
        <x:v>Talent grid</x:v>
      </x:c>
      <x:c r="E25" s="21" t="str">
        <x:v>Tier 3, choice 3</x:v>
      </x:c>
      <x:c r="F25" s="27" t="str">
        <x:v>Required</x:v>
      </x:c>
      <x:c r="G25" s="27" t="str">
        <x:v>P2</x:v>
      </x:c>
      <x:c r="H25" s="27" t="str">
        <x:v>Not Started</x:v>
      </x:c>
      <x:c r="I25" s="27" t="str">
        <x:v>Janfon</x:v>
      </x:c>
      <x:c r="J25" s="21" t="str">
        <x:v>Atlas-ready icon + layered source</x:v>
      </x:c>
      <x:c r="K25" s="21" t="str">
        <x:v>Unique silhouette at talent-grid size; supports selected, hovered, locked, and equipped presentation.</x:v>
      </x:c>
      <x:c r="L25" s="21" t="str">
        <x:v>SRC-012: scripts/managers/talents/ and scripts/ui/views/hero_view/windows/hero_window_talents.lua</x:v>
      </x:c>
      <x:c r="M25" s="21" t="str"/>
    </x:row>
    <x:row r="26" ht="46" customHeight="1">
      <x:c r="A26" s="24" t="str">
        <x:v>UI-022</x:v>
      </x:c>
      <x:c r="B26" s="21" t="str">
        <x:v>Talent</x:v>
      </x:c>
      <x:c r="C26" s="21" t="str">
        <x:v>Talent icon T4-1</x:v>
      </x:c>
      <x:c r="D26" s="21" t="str">
        <x:v>Talent grid</x:v>
      </x:c>
      <x:c r="E26" s="21" t="str">
        <x:v>Tier 4, choice 1</x:v>
      </x:c>
      <x:c r="F26" s="27" t="str">
        <x:v>Required</x:v>
      </x:c>
      <x:c r="G26" s="27" t="str">
        <x:v>P2</x:v>
      </x:c>
      <x:c r="H26" s="27" t="str">
        <x:v>Not Started</x:v>
      </x:c>
      <x:c r="I26" s="27" t="str">
        <x:v>Janfon</x:v>
      </x:c>
      <x:c r="J26" s="21" t="str">
        <x:v>Atlas-ready icon + layered source</x:v>
      </x:c>
      <x:c r="K26" s="21" t="str">
        <x:v>Unique silhouette at talent-grid size; supports selected, hovered, locked, and equipped presentation.</x:v>
      </x:c>
      <x:c r="L26" s="21" t="str">
        <x:v>SRC-012: scripts/managers/talents/ and scripts/ui/views/hero_view/windows/hero_window_talents.lua</x:v>
      </x:c>
      <x:c r="M26" s="21" t="str"/>
    </x:row>
    <x:row r="27" ht="46" customHeight="1">
      <x:c r="A27" s="24" t="str">
        <x:v>UI-023</x:v>
      </x:c>
      <x:c r="B27" s="21" t="str">
        <x:v>Talent</x:v>
      </x:c>
      <x:c r="C27" s="21" t="str">
        <x:v>Talent icon T4-2</x:v>
      </x:c>
      <x:c r="D27" s="21" t="str">
        <x:v>Talent grid</x:v>
      </x:c>
      <x:c r="E27" s="21" t="str">
        <x:v>Tier 4, choice 2</x:v>
      </x:c>
      <x:c r="F27" s="27" t="str">
        <x:v>Required</x:v>
      </x:c>
      <x:c r="G27" s="27" t="str">
        <x:v>P2</x:v>
      </x:c>
      <x:c r="H27" s="27" t="str">
        <x:v>Not Started</x:v>
      </x:c>
      <x:c r="I27" s="27" t="str">
        <x:v>Janfon</x:v>
      </x:c>
      <x:c r="J27" s="21" t="str">
        <x:v>Atlas-ready icon + layered source</x:v>
      </x:c>
      <x:c r="K27" s="21" t="str">
        <x:v>Unique silhouette at talent-grid size; supports selected, hovered, locked, and equipped presentation.</x:v>
      </x:c>
      <x:c r="L27" s="21" t="str">
        <x:v>SRC-012: scripts/managers/talents/ and scripts/ui/views/hero_view/windows/hero_window_talents.lua</x:v>
      </x:c>
      <x:c r="M27" s="21" t="str"/>
    </x:row>
    <x:row r="28" ht="46" customHeight="1">
      <x:c r="A28" s="24" t="str">
        <x:v>UI-024</x:v>
      </x:c>
      <x:c r="B28" s="21" t="str">
        <x:v>Talent</x:v>
      </x:c>
      <x:c r="C28" s="21" t="str">
        <x:v>Talent icon T4-3</x:v>
      </x:c>
      <x:c r="D28" s="21" t="str">
        <x:v>Talent grid</x:v>
      </x:c>
      <x:c r="E28" s="21" t="str">
        <x:v>Tier 4, choice 3</x:v>
      </x:c>
      <x:c r="F28" s="27" t="str">
        <x:v>Required</x:v>
      </x:c>
      <x:c r="G28" s="27" t="str">
        <x:v>P2</x:v>
      </x:c>
      <x:c r="H28" s="27" t="str">
        <x:v>Not Started</x:v>
      </x:c>
      <x:c r="I28" s="27" t="str">
        <x:v>Janfon</x:v>
      </x:c>
      <x:c r="J28" s="21" t="str">
        <x:v>Atlas-ready icon + layered source</x:v>
      </x:c>
      <x:c r="K28" s="21" t="str">
        <x:v>Unique silhouette at talent-grid size; supports selected, hovered, locked, and equipped presentation.</x:v>
      </x:c>
      <x:c r="L28" s="21" t="str">
        <x:v>SRC-012: scripts/managers/talents/ and scripts/ui/views/hero_view/windows/hero_window_talents.lua</x:v>
      </x:c>
      <x:c r="M28" s="21" t="str"/>
    </x:row>
    <x:row r="29" ht="46" customHeight="1">
      <x:c r="A29" s="24" t="str">
        <x:v>UI-025</x:v>
      </x:c>
      <x:c r="B29" s="21" t="str">
        <x:v>Talent</x:v>
      </x:c>
      <x:c r="C29" s="21" t="str">
        <x:v>Talent icon T5-1</x:v>
      </x:c>
      <x:c r="D29" s="21" t="str">
        <x:v>Talent grid</x:v>
      </x:c>
      <x:c r="E29" s="21" t="str">
        <x:v>Tier 5, choice 1</x:v>
      </x:c>
      <x:c r="F29" s="27" t="str">
        <x:v>Required</x:v>
      </x:c>
      <x:c r="G29" s="27" t="str">
        <x:v>P2</x:v>
      </x:c>
      <x:c r="H29" s="27" t="str">
        <x:v>Not Started</x:v>
      </x:c>
      <x:c r="I29" s="27" t="str">
        <x:v>Janfon</x:v>
      </x:c>
      <x:c r="J29" s="21" t="str">
        <x:v>Atlas-ready icon + layered source</x:v>
      </x:c>
      <x:c r="K29" s="21" t="str">
        <x:v>Unique silhouette at talent-grid size; supports selected, hovered, locked, and equipped presentation.</x:v>
      </x:c>
      <x:c r="L29" s="21" t="str">
        <x:v>SRC-012: scripts/managers/talents/ and scripts/ui/views/hero_view/windows/hero_window_talents.lua</x:v>
      </x:c>
      <x:c r="M29" s="21" t="str"/>
    </x:row>
    <x:row r="30" ht="46" customHeight="1">
      <x:c r="A30" s="24" t="str">
        <x:v>UI-026</x:v>
      </x:c>
      <x:c r="B30" s="21" t="str">
        <x:v>Talent</x:v>
      </x:c>
      <x:c r="C30" s="21" t="str">
        <x:v>Talent icon T5-2</x:v>
      </x:c>
      <x:c r="D30" s="21" t="str">
        <x:v>Talent grid</x:v>
      </x:c>
      <x:c r="E30" s="21" t="str">
        <x:v>Tier 5, choice 2</x:v>
      </x:c>
      <x:c r="F30" s="27" t="str">
        <x:v>Required</x:v>
      </x:c>
      <x:c r="G30" s="27" t="str">
        <x:v>P2</x:v>
      </x:c>
      <x:c r="H30" s="27" t="str">
        <x:v>Not Started</x:v>
      </x:c>
      <x:c r="I30" s="27" t="str">
        <x:v>Janfon</x:v>
      </x:c>
      <x:c r="J30" s="21" t="str">
        <x:v>Atlas-ready icon + layered source</x:v>
      </x:c>
      <x:c r="K30" s="21" t="str">
        <x:v>Unique silhouette at talent-grid size; supports selected, hovered, locked, and equipped presentation.</x:v>
      </x:c>
      <x:c r="L30" s="21" t="str">
        <x:v>SRC-012: scripts/managers/talents/ and scripts/ui/views/hero_view/windows/hero_window_talents.lua</x:v>
      </x:c>
      <x:c r="M30" s="21" t="str"/>
    </x:row>
    <x:row r="31" ht="46" customHeight="1">
      <x:c r="A31" s="24" t="str">
        <x:v>UI-027</x:v>
      </x:c>
      <x:c r="B31" s="21" t="str">
        <x:v>Talent</x:v>
      </x:c>
      <x:c r="C31" s="21" t="str">
        <x:v>Talent icon T5-3</x:v>
      </x:c>
      <x:c r="D31" s="21" t="str">
        <x:v>Talent grid</x:v>
      </x:c>
      <x:c r="E31" s="21" t="str">
        <x:v>Tier 5, choice 3</x:v>
      </x:c>
      <x:c r="F31" s="27" t="str">
        <x:v>Required</x:v>
      </x:c>
      <x:c r="G31" s="27" t="str">
        <x:v>P2</x:v>
      </x:c>
      <x:c r="H31" s="27" t="str">
        <x:v>Not Started</x:v>
      </x:c>
      <x:c r="I31" s="27" t="str">
        <x:v>Janfon</x:v>
      </x:c>
      <x:c r="J31" s="21" t="str">
        <x:v>Atlas-ready icon + layered source</x:v>
      </x:c>
      <x:c r="K31" s="21" t="str">
        <x:v>Unique silhouette at talent-grid size; supports selected, hovered, locked, and equipped presentation.</x:v>
      </x:c>
      <x:c r="L31" s="21" t="str">
        <x:v>SRC-012: scripts/managers/talents/ and scripts/ui/views/hero_view/windows/hero_window_talents.lua</x:v>
      </x:c>
      <x:c r="M31" s="21" t="str"/>
    </x:row>
    <x:row r="32" ht="46" customHeight="1">
      <x:c r="A32" s="24" t="str">
        <x:v>UI-028</x:v>
      </x:c>
      <x:c r="B32" s="21" t="str">
        <x:v>Talent</x:v>
      </x:c>
      <x:c r="C32" s="21" t="str">
        <x:v>Talent icon T6-1</x:v>
      </x:c>
      <x:c r="D32" s="21" t="str">
        <x:v>Talent grid</x:v>
      </x:c>
      <x:c r="E32" s="21" t="str">
        <x:v>Tier 6, choice 1</x:v>
      </x:c>
      <x:c r="F32" s="27" t="str">
        <x:v>Required</x:v>
      </x:c>
      <x:c r="G32" s="27" t="str">
        <x:v>P2</x:v>
      </x:c>
      <x:c r="H32" s="27" t="str">
        <x:v>Not Started</x:v>
      </x:c>
      <x:c r="I32" s="27" t="str">
        <x:v>Janfon</x:v>
      </x:c>
      <x:c r="J32" s="21" t="str">
        <x:v>Atlas-ready icon + layered source</x:v>
      </x:c>
      <x:c r="K32" s="21" t="str">
        <x:v>Unique silhouette at talent-grid size; supports selected, hovered, locked, and equipped presentation.</x:v>
      </x:c>
      <x:c r="L32" s="21" t="str">
        <x:v>SRC-012: scripts/managers/talents/ and scripts/ui/views/hero_view/windows/hero_window_talents.lua</x:v>
      </x:c>
      <x:c r="M32" s="21" t="str"/>
    </x:row>
    <x:row r="33" ht="46" customHeight="1">
      <x:c r="A33" s="24" t="str">
        <x:v>UI-029</x:v>
      </x:c>
      <x:c r="B33" s="21" t="str">
        <x:v>Talent</x:v>
      </x:c>
      <x:c r="C33" s="21" t="str">
        <x:v>Talent icon T6-2</x:v>
      </x:c>
      <x:c r="D33" s="21" t="str">
        <x:v>Talent grid</x:v>
      </x:c>
      <x:c r="E33" s="21" t="str">
        <x:v>Tier 6, choice 2</x:v>
      </x:c>
      <x:c r="F33" s="27" t="str">
        <x:v>Required</x:v>
      </x:c>
      <x:c r="G33" s="27" t="str">
        <x:v>P2</x:v>
      </x:c>
      <x:c r="H33" s="27" t="str">
        <x:v>Not Started</x:v>
      </x:c>
      <x:c r="I33" s="27" t="str">
        <x:v>Janfon</x:v>
      </x:c>
      <x:c r="J33" s="21" t="str">
        <x:v>Atlas-ready icon + layered source</x:v>
      </x:c>
      <x:c r="K33" s="21" t="str">
        <x:v>Unique silhouette at talent-grid size; supports selected, hovered, locked, and equipped presentation.</x:v>
      </x:c>
      <x:c r="L33" s="21" t="str">
        <x:v>SRC-012: scripts/managers/talents/ and scripts/ui/views/hero_view/windows/hero_window_talents.lua</x:v>
      </x:c>
      <x:c r="M33" s="21" t="str"/>
    </x:row>
    <x:row r="34" ht="46" customHeight="1">
      <x:c r="A34" s="24" t="str">
        <x:v>UI-030</x:v>
      </x:c>
      <x:c r="B34" s="21" t="str">
        <x:v>Talent</x:v>
      </x:c>
      <x:c r="C34" s="21" t="str">
        <x:v>Talent icon T6-3</x:v>
      </x:c>
      <x:c r="D34" s="21" t="str">
        <x:v>Talent grid</x:v>
      </x:c>
      <x:c r="E34" s="21" t="str">
        <x:v>Tier 6, choice 3</x:v>
      </x:c>
      <x:c r="F34" s="27" t="str">
        <x:v>Required</x:v>
      </x:c>
      <x:c r="G34" s="27" t="str">
        <x:v>P2</x:v>
      </x:c>
      <x:c r="H34" s="27" t="str">
        <x:v>Not Started</x:v>
      </x:c>
      <x:c r="I34" s="27" t="str">
        <x:v>Janfon</x:v>
      </x:c>
      <x:c r="J34" s="21" t="str">
        <x:v>Atlas-ready icon + layered source</x:v>
      </x:c>
      <x:c r="K34" s="21" t="str">
        <x:v>Unique silhouette at talent-grid size; supports selected, hovered, locked, and equipped presentation.</x:v>
      </x:c>
      <x:c r="L34" s="21" t="str">
        <x:v>SRC-012: scripts/managers/talents/ and scripts/ui/views/hero_view/windows/hero_window_talents.lua</x:v>
      </x:c>
      <x:c r="M34" s="21" t="str"/>
    </x:row>
    <x:row r="35" ht="46" customHeight="1">
      <x:c r="A35" s="24" t="str">
        <x:v>UI-031</x:v>
      </x:c>
      <x:c r="B35" s="21" t="str">
        <x:v>Quest</x:v>
      </x:c>
      <x:c r="C35" s="21" t="str">
        <x:v>The Great Scheme quest icon: Kill Skaven</x:v>
      </x:c>
      <x:c r="D35" s="21" t="str">
        <x:v>Quest panel/HUD</x:v>
      </x:c>
      <x:c r="E35" s="21" t="str">
        <x:v>Placeholder quest</x:v>
      </x:c>
      <x:c r="F35" s="27" t="str">
        <x:v>Required</x:v>
      </x:c>
      <x:c r="G35" s="27" t="str">
        <x:v>P1</x:v>
      </x:c>
      <x:c r="H35" s="27" t="str">
        <x:v>Not Started</x:v>
      </x:c>
      <x:c r="I35" s="27" t="str">
        <x:v>Janfon</x:v>
      </x:c>
      <x:c r="J35" s="21" t="str">
        <x:v>Atlas-ready icon</x:v>
      </x:c>
      <x:c r="K35" s="21" t="str">
        <x:v>Goal is recognizable without text and supports complete/incomplete state treatment.</x:v>
      </x:c>
      <x:c r="L35" s="21" t="str">
        <x:v>SRC-022: vt2-pusfume-1p/docs/PUSFUME_CAREER_SPEC_V2.md; SRC-023: vt2-pusfume-1p/docs/CAREER_KIT.md</x:v>
      </x:c>
      <x:c r="M35" s="21" t="str"/>
    </x:row>
    <x:row r="36" ht="46" customHeight="1">
      <x:c r="A36" s="24" t="str">
        <x:v>UI-032</x:v>
      </x:c>
      <x:c r="B36" s="21" t="str">
        <x:v>Quest</x:v>
      </x:c>
      <x:c r="C36" s="21" t="str">
        <x:v>The Great Scheme quest icon: Kill specials</x:v>
      </x:c>
      <x:c r="D36" s="21" t="str">
        <x:v>Quest panel/HUD</x:v>
      </x:c>
      <x:c r="E36" s="21" t="str">
        <x:v>Placeholder quest</x:v>
      </x:c>
      <x:c r="F36" s="27" t="str">
        <x:v>Required</x:v>
      </x:c>
      <x:c r="G36" s="27" t="str">
        <x:v>P1</x:v>
      </x:c>
      <x:c r="H36" s="27" t="str">
        <x:v>Not Started</x:v>
      </x:c>
      <x:c r="I36" s="27" t="str">
        <x:v>Janfon</x:v>
      </x:c>
      <x:c r="J36" s="21" t="str">
        <x:v>Atlas-ready icon</x:v>
      </x:c>
      <x:c r="K36" s="21" t="str">
        <x:v>Goal is recognizable without text and supports complete/incomplete state treatment.</x:v>
      </x:c>
      <x:c r="L36" s="21" t="str">
        <x:v>SRC-022: vt2-pusfume-1p/docs/PUSFUME_CAREER_SPEC_V2.md; SRC-023: vt2-pusfume-1p/docs/CAREER_KIT.md</x:v>
      </x:c>
      <x:c r="M36" s="21" t="str"/>
    </x:row>
    <x:row r="37" ht="46" customHeight="1">
      <x:c r="A37" s="24" t="str">
        <x:v>UI-033</x:v>
      </x:c>
      <x:c r="B37" s="21" t="str">
        <x:v>Quest</x:v>
      </x:c>
      <x:c r="C37" s="21" t="str">
        <x:v>The Great Scheme quest icon: Kill elites</x:v>
      </x:c>
      <x:c r="D37" s="21" t="str">
        <x:v>Quest panel/HUD</x:v>
      </x:c>
      <x:c r="E37" s="21" t="str">
        <x:v>Placeholder quest</x:v>
      </x:c>
      <x:c r="F37" s="27" t="str">
        <x:v>Required</x:v>
      </x:c>
      <x:c r="G37" s="27" t="str">
        <x:v>P1</x:v>
      </x:c>
      <x:c r="H37" s="27" t="str">
        <x:v>Not Started</x:v>
      </x:c>
      <x:c r="I37" s="27" t="str">
        <x:v>Janfon</x:v>
      </x:c>
      <x:c r="J37" s="21" t="str">
        <x:v>Atlas-ready icon</x:v>
      </x:c>
      <x:c r="K37" s="21" t="str">
        <x:v>Goal is recognizable without text and supports complete/incomplete state treatment.</x:v>
      </x:c>
      <x:c r="L37" s="21" t="str">
        <x:v>SRC-022: vt2-pusfume-1p/docs/PUSFUME_CAREER_SPEC_V2.md; SRC-023: vt2-pusfume-1p/docs/CAREER_KIT.md</x:v>
      </x:c>
      <x:c r="M37" s="21" t="str"/>
    </x:row>
    <x:row r="38" ht="46" customHeight="1">
      <x:c r="A38" s="24" t="str">
        <x:v>UI-034</x:v>
      </x:c>
      <x:c r="B38" s="21" t="str">
        <x:v>Quest</x:v>
      </x:c>
      <x:c r="C38" s="21" t="str">
        <x:v>The Great Scheme quest icon: Collect supplies</x:v>
      </x:c>
      <x:c r="D38" s="21" t="str">
        <x:v>Quest panel/HUD</x:v>
      </x:c>
      <x:c r="E38" s="21" t="str">
        <x:v>Placeholder quest</x:v>
      </x:c>
      <x:c r="F38" s="27" t="str">
        <x:v>Required</x:v>
      </x:c>
      <x:c r="G38" s="27" t="str">
        <x:v>P1</x:v>
      </x:c>
      <x:c r="H38" s="27" t="str">
        <x:v>Not Started</x:v>
      </x:c>
      <x:c r="I38" s="27" t="str">
        <x:v>Janfon</x:v>
      </x:c>
      <x:c r="J38" s="21" t="str">
        <x:v>Atlas-ready icon</x:v>
      </x:c>
      <x:c r="K38" s="21" t="str">
        <x:v>Goal is recognizable without text and supports complete/incomplete state treatment.</x:v>
      </x:c>
      <x:c r="L38" s="21" t="str">
        <x:v>SRC-022: vt2-pusfume-1p/docs/PUSFUME_CAREER_SPEC_V2.md; SRC-023: vt2-pusfume-1p/docs/CAREER_KIT.md</x:v>
      </x:c>
      <x:c r="M38" s="21" t="str"/>
    </x:row>
    <x:row r="39" ht="46" customHeight="1">
      <x:c r="A39" s="24" t="str">
        <x:v>UI-035</x:v>
      </x:c>
      <x:c r="B39" s="21" t="str">
        <x:v>Quest</x:v>
      </x:c>
      <x:c r="C39" s="21" t="str">
        <x:v>The Great Scheme quest icon: Use bombs</x:v>
      </x:c>
      <x:c r="D39" s="21" t="str">
        <x:v>Quest panel/HUD</x:v>
      </x:c>
      <x:c r="E39" s="21" t="str">
        <x:v>Placeholder quest</x:v>
      </x:c>
      <x:c r="F39" s="27" t="str">
        <x:v>Required</x:v>
      </x:c>
      <x:c r="G39" s="27" t="str">
        <x:v>P1</x:v>
      </x:c>
      <x:c r="H39" s="27" t="str">
        <x:v>Not Started</x:v>
      </x:c>
      <x:c r="I39" s="27" t="str">
        <x:v>Janfon</x:v>
      </x:c>
      <x:c r="J39" s="21" t="str">
        <x:v>Atlas-ready icon</x:v>
      </x:c>
      <x:c r="K39" s="21" t="str">
        <x:v>Goal is recognizable without text and supports complete/incomplete state treatment.</x:v>
      </x:c>
      <x:c r="L39" s="21" t="str">
        <x:v>SRC-022: vt2-pusfume-1p/docs/PUSFUME_CAREER_SPEC_V2.md; SRC-023: vt2-pusfume-1p/docs/CAREER_KIT.md</x:v>
      </x:c>
      <x:c r="M39" s="21" t="str"/>
    </x:row>
    <x:row r="40" ht="46" customHeight="1">
      <x:c r="A40" s="24" t="str">
        <x:v>UI-036</x:v>
      </x:c>
      <x:c r="B40" s="21" t="str">
        <x:v>Quest</x:v>
      </x:c>
      <x:c r="C40" s="21" t="str">
        <x:v>The Great Scheme quest icon: Use potions</x:v>
      </x:c>
      <x:c r="D40" s="21" t="str">
        <x:v>Quest panel/HUD</x:v>
      </x:c>
      <x:c r="E40" s="21" t="str">
        <x:v>Placeholder quest</x:v>
      </x:c>
      <x:c r="F40" s="27" t="str">
        <x:v>Required</x:v>
      </x:c>
      <x:c r="G40" s="27" t="str">
        <x:v>P1</x:v>
      </x:c>
      <x:c r="H40" s="27" t="str">
        <x:v>Not Started</x:v>
      </x:c>
      <x:c r="I40" s="27" t="str">
        <x:v>Janfon</x:v>
      </x:c>
      <x:c r="J40" s="21" t="str">
        <x:v>Atlas-ready icon</x:v>
      </x:c>
      <x:c r="K40" s="21" t="str">
        <x:v>Goal is recognizable without text and supports complete/incomplete state treatment.</x:v>
      </x:c>
      <x:c r="L40" s="21" t="str">
        <x:v>SRC-022: vt2-pusfume-1p/docs/PUSFUME_CAREER_SPEC_V2.md; SRC-023: vt2-pusfume-1p/docs/CAREER_KIT.md</x:v>
      </x:c>
      <x:c r="M40" s="21" t="str"/>
    </x:row>
    <x:row r="41" ht="46" customHeight="1">
      <x:c r="A41" s="24" t="str">
        <x:v>UI-037</x:v>
      </x:c>
      <x:c r="B41" s="21" t="str">
        <x:v>Quest</x:v>
      </x:c>
      <x:c r="C41" s="21" t="str">
        <x:v>The Great Scheme quest icon: Complete without poison damage</x:v>
      </x:c>
      <x:c r="D41" s="21" t="str">
        <x:v>Quest panel/HUD</x:v>
      </x:c>
      <x:c r="E41" s="21" t="str">
        <x:v>Placeholder quest</x:v>
      </x:c>
      <x:c r="F41" s="27" t="str">
        <x:v>Required</x:v>
      </x:c>
      <x:c r="G41" s="27" t="str">
        <x:v>P1</x:v>
      </x:c>
      <x:c r="H41" s="27" t="str">
        <x:v>Not Started</x:v>
      </x:c>
      <x:c r="I41" s="27" t="str">
        <x:v>Janfon</x:v>
      </x:c>
      <x:c r="J41" s="21" t="str">
        <x:v>Atlas-ready icon</x:v>
      </x:c>
      <x:c r="K41" s="21" t="str">
        <x:v>Goal is recognizable without text and supports complete/incomplete state treatment.</x:v>
      </x:c>
      <x:c r="L41" s="21" t="str">
        <x:v>SRC-022: vt2-pusfume-1p/docs/PUSFUME_CAREER_SPEC_V2.md; SRC-023: vt2-pusfume-1p/docs/CAREER_KIT.md</x:v>
      </x:c>
      <x:c r="M41" s="21" t="str"/>
    </x:row>
    <x:row r="42" ht="46" customHeight="1">
      <x:c r="A42" s="24" t="str">
        <x:v>UI-038</x:v>
      </x:c>
      <x:c r="B42" s="21" t="str">
        <x:v>Quest</x:v>
      </x:c>
      <x:c r="C42" s="21" t="str">
        <x:v>The Great Scheme quest icon: Team objective complete</x:v>
      </x:c>
      <x:c r="D42" s="21" t="str">
        <x:v>Quest panel/HUD</x:v>
      </x:c>
      <x:c r="E42" s="21" t="str">
        <x:v>Placeholder quest</x:v>
      </x:c>
      <x:c r="F42" s="27" t="str">
        <x:v>Required</x:v>
      </x:c>
      <x:c r="G42" s="27" t="str">
        <x:v>P1</x:v>
      </x:c>
      <x:c r="H42" s="27" t="str">
        <x:v>Not Started</x:v>
      </x:c>
      <x:c r="I42" s="27" t="str">
        <x:v>Janfon</x:v>
      </x:c>
      <x:c r="J42" s="21" t="str">
        <x:v>Atlas-ready icon</x:v>
      </x:c>
      <x:c r="K42" s="21" t="str">
        <x:v>Goal is recognizable without text and supports complete/incomplete state treatment.</x:v>
      </x:c>
      <x:c r="L42" s="21" t="str">
        <x:v>SRC-022: vt2-pusfume-1p/docs/PUSFUME_CAREER_SPEC_V2.md; SRC-023: vt2-pusfume-1p/docs/CAREER_KIT.md</x:v>
      </x:c>
      <x:c r="M42" s="21" t="str"/>
    </x:row>
    <x:row r="43" ht="46" customHeight="1">
      <x:c r="A43" s="24" t="str">
        <x:v>UI-039</x:v>
      </x:c>
      <x:c r="B43" s="21" t="str">
        <x:v>Career interaction UI</x:v>
      </x:c>
      <x:c r="C43" s="21" t="str">
        <x:v>Bag interaction prompt</x:v>
      </x:c>
      <x:c r="D43" s="21" t="str">
        <x:v>HUD/world marker</x:v>
      </x:c>
      <x:c r="E43" s="21" t="str">
        <x:v>Normal/hover/disabled</x:v>
      </x:c>
      <x:c r="F43" s="27" t="str">
        <x:v>Required</x:v>
      </x:c>
      <x:c r="G43" s="27" t="str">
        <x:v>P1</x:v>
      </x:c>
      <x:c r="H43" s="27" t="str">
        <x:v>Not Started</x:v>
      </x:c>
      <x:c r="I43" s="27" t="str">
        <x:v>Janfon</x:v>
      </x:c>
      <x:c r="J43" s="21" t="str">
        <x:v>Atlas-ready icon or reticle</x:v>
      </x:c>
      <x:c r="K43" s="21" t="str">
        <x:v>Readable on keyboard/mouse and gamepad; does not reuse ambiguous inventory symbols.</x:v>
      </x:c>
      <x:c r="L43" s="21" t="str">
        <x:v>SRC-014: scripts/unit_extensions/generic/interactions.lua; SRC-010: scripts/ui/hud_ui/; SRC-018: scripts/settings/inventory_settings.lua and scripts/ui/views/player_inventory_ui.lua</x:v>
      </x:c>
      <x:c r="M43" s="21" t="str"/>
    </x:row>
    <x:row r="44" ht="46" customHeight="1">
      <x:c r="A44" s="24" t="str">
        <x:v>UI-040</x:v>
      </x:c>
      <x:c r="B44" s="21" t="str">
        <x:v>Career interaction UI</x:v>
      </x:c>
      <x:c r="C44" s="21" t="str">
        <x:v>Potion enchant option</x:v>
      </x:c>
      <x:c r="D44" s="21" t="str">
        <x:v>HUD/world marker</x:v>
      </x:c>
      <x:c r="E44" s="21" t="str">
        <x:v>Normal/hover/disabled</x:v>
      </x:c>
      <x:c r="F44" s="27" t="str">
        <x:v>Required</x:v>
      </x:c>
      <x:c r="G44" s="27" t="str">
        <x:v>P1</x:v>
      </x:c>
      <x:c r="H44" s="27" t="str">
        <x:v>Not Started</x:v>
      </x:c>
      <x:c r="I44" s="27" t="str">
        <x:v>Janfon</x:v>
      </x:c>
      <x:c r="J44" s="21" t="str">
        <x:v>Atlas-ready icon or reticle</x:v>
      </x:c>
      <x:c r="K44" s="21" t="str">
        <x:v>Readable on keyboard/mouse and gamepad; does not reuse ambiguous inventory symbols.</x:v>
      </x:c>
      <x:c r="L44" s="21" t="str">
        <x:v>SRC-014: scripts/unit_extensions/generic/interactions.lua; SRC-010: scripts/ui/hud_ui/; SRC-018: scripts/settings/inventory_settings.lua and scripts/ui/views/player_inventory_ui.lua</x:v>
      </x:c>
      <x:c r="M44" s="21" t="str"/>
    </x:row>
    <x:row r="45" ht="46" customHeight="1">
      <x:c r="A45" s="24" t="str">
        <x:v>UI-041</x:v>
      </x:c>
      <x:c r="B45" s="21" t="str">
        <x:v>Career interaction UI</x:v>
      </x:c>
      <x:c r="C45" s="21" t="str">
        <x:v>Bomb upgrade option</x:v>
      </x:c>
      <x:c r="D45" s="21" t="str">
        <x:v>HUD/world marker</x:v>
      </x:c>
      <x:c r="E45" s="21" t="str">
        <x:v>Normal/hover/disabled</x:v>
      </x:c>
      <x:c r="F45" s="27" t="str">
        <x:v>Required</x:v>
      </x:c>
      <x:c r="G45" s="27" t="str">
        <x:v>P1</x:v>
      </x:c>
      <x:c r="H45" s="27" t="str">
        <x:v>Not Started</x:v>
      </x:c>
      <x:c r="I45" s="27" t="str">
        <x:v>Janfon</x:v>
      </x:c>
      <x:c r="J45" s="21" t="str">
        <x:v>Atlas-ready icon or reticle</x:v>
      </x:c>
      <x:c r="K45" s="21" t="str">
        <x:v>Readable on keyboard/mouse and gamepad; does not reuse ambiguous inventory symbols.</x:v>
      </x:c>
      <x:c r="L45" s="21" t="str">
        <x:v>SRC-014: scripts/unit_extensions/generic/interactions.lua; SRC-010: scripts/ui/hud_ui/; SRC-018: scripts/settings/inventory_settings.lua and scripts/ui/views/player_inventory_ui.lua</x:v>
      </x:c>
      <x:c r="M45" s="21" t="str"/>
    </x:row>
    <x:row r="46" ht="46" customHeight="1">
      <x:c r="A46" s="24" t="str">
        <x:v>UI-042</x:v>
      </x:c>
      <x:c r="B46" s="21" t="str">
        <x:v>Career interaction UI</x:v>
      </x:c>
      <x:c r="C46" s="21" t="str">
        <x:v>Gas-trap craft option</x:v>
      </x:c>
      <x:c r="D46" s="21" t="str">
        <x:v>HUD/world marker</x:v>
      </x:c>
      <x:c r="E46" s="21" t="str">
        <x:v>Normal/hover/disabled</x:v>
      </x:c>
      <x:c r="F46" s="27" t="str">
        <x:v>Required</x:v>
      </x:c>
      <x:c r="G46" s="27" t="str">
        <x:v>P1</x:v>
      </x:c>
      <x:c r="H46" s="27" t="str">
        <x:v>Not Started</x:v>
      </x:c>
      <x:c r="I46" s="27" t="str">
        <x:v>Janfon</x:v>
      </x:c>
      <x:c r="J46" s="21" t="str">
        <x:v>Atlas-ready icon or reticle</x:v>
      </x:c>
      <x:c r="K46" s="21" t="str">
        <x:v>Readable on keyboard/mouse and gamepad; does not reuse ambiguous inventory symbols.</x:v>
      </x:c>
      <x:c r="L46" s="21" t="str">
        <x:v>SRC-014: scripts/unit_extensions/generic/interactions.lua; SRC-010: scripts/ui/hud_ui/; SRC-018: scripts/settings/inventory_settings.lua and scripts/ui/views/player_inventory_ui.lua</x:v>
      </x:c>
      <x:c r="M46" s="21" t="str"/>
    </x:row>
    <x:row r="47" ht="46" customHeight="1">
      <x:c r="A47" s="24" t="str">
        <x:v>UI-043</x:v>
      </x:c>
      <x:c r="B47" s="21" t="str">
        <x:v>Career interaction UI</x:v>
      </x:c>
      <x:c r="C47" s="21" t="str">
        <x:v>Invalid item state</x:v>
      </x:c>
      <x:c r="D47" s="21" t="str">
        <x:v>HUD/world marker</x:v>
      </x:c>
      <x:c r="E47" s="21" t="str">
        <x:v>Normal/hover/disabled</x:v>
      </x:c>
      <x:c r="F47" s="27" t="str">
        <x:v>Required</x:v>
      </x:c>
      <x:c r="G47" s="27" t="str">
        <x:v>P1</x:v>
      </x:c>
      <x:c r="H47" s="27" t="str">
        <x:v>Not Started</x:v>
      </x:c>
      <x:c r="I47" s="27" t="str">
        <x:v>Janfon</x:v>
      </x:c>
      <x:c r="J47" s="21" t="str">
        <x:v>Atlas-ready icon or reticle</x:v>
      </x:c>
      <x:c r="K47" s="21" t="str">
        <x:v>Readable on keyboard/mouse and gamepad; does not reuse ambiguous inventory symbols.</x:v>
      </x:c>
      <x:c r="L47" s="21" t="str">
        <x:v>SRC-014: scripts/unit_extensions/generic/interactions.lua; SRC-010: scripts/ui/hud_ui/; SRC-018: scripts/settings/inventory_settings.lua and scripts/ui/views/player_inventory_ui.lua</x:v>
      </x:c>
      <x:c r="M47" s="21" t="str"/>
    </x:row>
    <x:row r="48" ht="46" customHeight="1">
      <x:c r="A48" s="24" t="str">
        <x:v>UI-044</x:v>
      </x:c>
      <x:c r="B48" s="21" t="str">
        <x:v>Career interaction UI</x:v>
      </x:c>
      <x:c r="C48" s="21" t="str">
        <x:v>Craft success marker</x:v>
      </x:c>
      <x:c r="D48" s="21" t="str">
        <x:v>HUD/world marker</x:v>
      </x:c>
      <x:c r="E48" s="21" t="str">
        <x:v>Normal/hover/disabled</x:v>
      </x:c>
      <x:c r="F48" s="27" t="str">
        <x:v>Required</x:v>
      </x:c>
      <x:c r="G48" s="27" t="str">
        <x:v>P1</x:v>
      </x:c>
      <x:c r="H48" s="27" t="str">
        <x:v>Not Started</x:v>
      </x:c>
      <x:c r="I48" s="27" t="str">
        <x:v>Janfon</x:v>
      </x:c>
      <x:c r="J48" s="21" t="str">
        <x:v>Atlas-ready icon or reticle</x:v>
      </x:c>
      <x:c r="K48" s="21" t="str">
        <x:v>Readable on keyboard/mouse and gamepad; does not reuse ambiguous inventory symbols.</x:v>
      </x:c>
      <x:c r="L48" s="21" t="str">
        <x:v>SRC-014: scripts/unit_extensions/generic/interactions.lua; SRC-010: scripts/ui/hud_ui/; SRC-018: scripts/settings/inventory_settings.lua and scripts/ui/views/player_inventory_ui.lua</x:v>
      </x:c>
      <x:c r="M48" s="21" t="str"/>
    </x:row>
    <x:row r="49" ht="46" customHeight="1">
      <x:c r="A49" s="24" t="str">
        <x:v>UI-045</x:v>
      </x:c>
      <x:c r="B49" s="21" t="str">
        <x:v>Career interaction UI</x:v>
      </x:c>
      <x:c r="C49" s="21" t="str">
        <x:v>Craft failure marker</x:v>
      </x:c>
      <x:c r="D49" s="21" t="str">
        <x:v>HUD/world marker</x:v>
      </x:c>
      <x:c r="E49" s="21" t="str">
        <x:v>Normal/hover/disabled</x:v>
      </x:c>
      <x:c r="F49" s="27" t="str">
        <x:v>Required</x:v>
      </x:c>
      <x:c r="G49" s="27" t="str">
        <x:v>P1</x:v>
      </x:c>
      <x:c r="H49" s="27" t="str">
        <x:v>Not Started</x:v>
      </x:c>
      <x:c r="I49" s="27" t="str">
        <x:v>Janfon</x:v>
      </x:c>
      <x:c r="J49" s="21" t="str">
        <x:v>Atlas-ready icon or reticle</x:v>
      </x:c>
      <x:c r="K49" s="21" t="str">
        <x:v>Readable on keyboard/mouse and gamepad; does not reuse ambiguous inventory symbols.</x:v>
      </x:c>
      <x:c r="L49" s="21" t="str">
        <x:v>SRC-014: scripts/unit_extensions/generic/interactions.lua; SRC-010: scripts/ui/hud_ui/; SRC-018: scripts/settings/inventory_settings.lua and scripts/ui/views/player_inventory_ui.lua</x:v>
      </x:c>
      <x:c r="M49" s="21" t="str"/>
    </x:row>
    <x:row r="50" ht="46" customHeight="1">
      <x:c r="A50" s="24" t="str">
        <x:v>UI-046</x:v>
      </x:c>
      <x:c r="B50" s="21" t="str">
        <x:v>Career interaction UI</x:v>
      </x:c>
      <x:c r="C50" s="21" t="str">
        <x:v>Bag owner marker</x:v>
      </x:c>
      <x:c r="D50" s="21" t="str">
        <x:v>HUD/world marker</x:v>
      </x:c>
      <x:c r="E50" s="21" t="str">
        <x:v>Normal/hover/disabled</x:v>
      </x:c>
      <x:c r="F50" s="27" t="str">
        <x:v>Required</x:v>
      </x:c>
      <x:c r="G50" s="27" t="str">
        <x:v>P1</x:v>
      </x:c>
      <x:c r="H50" s="27" t="str">
        <x:v>Not Started</x:v>
      </x:c>
      <x:c r="I50" s="27" t="str">
        <x:v>Janfon</x:v>
      </x:c>
      <x:c r="J50" s="21" t="str">
        <x:v>Atlas-ready icon or reticle</x:v>
      </x:c>
      <x:c r="K50" s="21" t="str">
        <x:v>Readable on keyboard/mouse and gamepad; does not reuse ambiguous inventory symbols.</x:v>
      </x:c>
      <x:c r="L50" s="21" t="str">
        <x:v>SRC-014: scripts/unit_extensions/generic/interactions.lua; SRC-010: scripts/ui/hud_ui/; SRC-018: scripts/settings/inventory_settings.lua and scripts/ui/views/player_inventory_ui.lua</x:v>
      </x:c>
      <x:c r="M50" s="21" t="str"/>
    </x:row>
    <x:row r="51" ht="46" customHeight="1">
      <x:c r="A51" s="24" t="str">
        <x:v>UI-047</x:v>
      </x:c>
      <x:c r="B51" s="21" t="str">
        <x:v>Career interaction UI</x:v>
      </x:c>
      <x:c r="C51" s="21" t="str">
        <x:v>Bag cooldown/charges marker</x:v>
      </x:c>
      <x:c r="D51" s="21" t="str">
        <x:v>HUD/world marker</x:v>
      </x:c>
      <x:c r="E51" s="21" t="str">
        <x:v>Normal/hover/disabled</x:v>
      </x:c>
      <x:c r="F51" s="27" t="str">
        <x:v>Required</x:v>
      </x:c>
      <x:c r="G51" s="27" t="str">
        <x:v>P1</x:v>
      </x:c>
      <x:c r="H51" s="27" t="str">
        <x:v>Not Started</x:v>
      </x:c>
      <x:c r="I51" s="27" t="str">
        <x:v>Janfon</x:v>
      </x:c>
      <x:c r="J51" s="21" t="str">
        <x:v>Atlas-ready icon or reticle</x:v>
      </x:c>
      <x:c r="K51" s="21" t="str">
        <x:v>Readable on keyboard/mouse and gamepad; does not reuse ambiguous inventory symbols.</x:v>
      </x:c>
      <x:c r="L51" s="21" t="str">
        <x:v>SRC-014: scripts/unit_extensions/generic/interactions.lua; SRC-010: scripts/ui/hud_ui/; SRC-018: scripts/settings/inventory_settings.lua and scripts/ui/views/player_inventory_ui.lua</x:v>
      </x:c>
      <x:c r="M51" s="21" t="str"/>
    </x:row>
    <x:row r="52" ht="46" customHeight="1">
      <x:c r="A52" s="24" t="str">
        <x:v>UI-048</x:v>
      </x:c>
      <x:c r="B52" s="21" t="str">
        <x:v>Career interaction UI</x:v>
      </x:c>
      <x:c r="C52" s="21" t="str">
        <x:v>Gas trap placement reticle</x:v>
      </x:c>
      <x:c r="D52" s="21" t="str">
        <x:v>HUD/world marker</x:v>
      </x:c>
      <x:c r="E52" s="21" t="str">
        <x:v>Normal/hover/disabled</x:v>
      </x:c>
      <x:c r="F52" s="27" t="str">
        <x:v>Required</x:v>
      </x:c>
      <x:c r="G52" s="27" t="str">
        <x:v>P1</x:v>
      </x:c>
      <x:c r="H52" s="27" t="str">
        <x:v>Not Started</x:v>
      </x:c>
      <x:c r="I52" s="27" t="str">
        <x:v>Janfon</x:v>
      </x:c>
      <x:c r="J52" s="21" t="str">
        <x:v>Atlas-ready icon or reticle</x:v>
      </x:c>
      <x:c r="K52" s="21" t="str">
        <x:v>Readable on keyboard/mouse and gamepad; does not reuse ambiguous inventory symbols.</x:v>
      </x:c>
      <x:c r="L52" s="21" t="str">
        <x:v>SRC-014: scripts/unit_extensions/generic/interactions.lua; SRC-010: scripts/ui/hud_ui/; SRC-018: scripts/settings/inventory_settings.lua and scripts/ui/views/player_inventory_ui.lua</x:v>
      </x:c>
      <x:c r="M52" s="21" t="str"/>
    </x:row>
    <x:row r="53" ht="46" customHeight="1">
      <x:c r="A53" s="24" t="str">
        <x:v>UI-049</x:v>
      </x:c>
      <x:c r="B53" s="21" t="str">
        <x:v>Presentation UI</x:v>
      </x:c>
      <x:c r="C53" s="21" t="str">
        <x:v>Career nameplate lockup</x:v>
      </x:c>
      <x:c r="D53" s="21" t="str">
        <x:v>Menus/HUD</x:v>
      </x:c>
      <x:c r="E53" s="21" t="str">
        <x:v>Localized layout</x:v>
      </x:c>
      <x:c r="F53" s="27" t="str">
        <x:v>Required</x:v>
      </x:c>
      <x:c r="G53" s="27" t="str">
        <x:v>P2</x:v>
      </x:c>
      <x:c r="H53" s="27" t="str">
        <x:v>Not Started</x:v>
      </x:c>
      <x:c r="I53" s="27" t="str">
        <x:v>Janfon</x:v>
      </x:c>
      <x:c r="J53" s="21" t="str">
        <x:v>Atlas source or layout-safe artwork</x:v>
      </x:c>
      <x:c r="K53" s="21" t="str">
        <x:v>Works with UNDER-EMPIRE REJECT and Pusfume localization, long-string fallback, and 1080p logical UI scaling.</x:v>
      </x:c>
      <x:c r="L53" s="21" t="str">
        <x:v>SRC-011: scripts/ui/views/hero_view/; SRC-010: scripts/ui/hud_ui/; SRC-019: scripts/ui/hud_ui/component_list_definitions/hud_component_list_versus.lua</x:v>
      </x:c>
      <x:c r="M53" s="21" t="str"/>
    </x:row>
    <x:row r="54" ht="46" customHeight="1">
      <x:c r="A54" s="24" t="str">
        <x:v>UI-050</x:v>
      </x:c>
      <x:c r="B54" s="21" t="str">
        <x:v>Presentation UI</x:v>
      </x:c>
      <x:c r="C54" s="21" t="str">
        <x:v>Pusfume character-name lockup</x:v>
      </x:c>
      <x:c r="D54" s="21" t="str">
        <x:v>Menus/HUD</x:v>
      </x:c>
      <x:c r="E54" s="21" t="str">
        <x:v>Localized layout</x:v>
      </x:c>
      <x:c r="F54" s="27" t="str">
        <x:v>Required</x:v>
      </x:c>
      <x:c r="G54" s="27" t="str">
        <x:v>P2</x:v>
      </x:c>
      <x:c r="H54" s="27" t="str">
        <x:v>Not Started</x:v>
      </x:c>
      <x:c r="I54" s="27" t="str">
        <x:v>Janfon</x:v>
      </x:c>
      <x:c r="J54" s="21" t="str">
        <x:v>Atlas source or layout-safe artwork</x:v>
      </x:c>
      <x:c r="K54" s="21" t="str">
        <x:v>Works with UNDER-EMPIRE REJECT and Pusfume localization, long-string fallback, and 1080p logical UI scaling.</x:v>
      </x:c>
      <x:c r="L54" s="21" t="str">
        <x:v>SRC-011: scripts/ui/views/hero_view/; SRC-010: scripts/ui/hud_ui/; SRC-019: scripts/ui/hud_ui/component_list_definitions/hud_component_list_versus.lua</x:v>
      </x:c>
      <x:c r="M54" s="21" t="str"/>
    </x:row>
    <x:row r="55" ht="46" customHeight="1">
      <x:c r="A55" s="24" t="str">
        <x:v>UI-051</x:v>
      </x:c>
      <x:c r="B55" s="21" t="str">
        <x:v>Presentation UI</x:v>
      </x:c>
      <x:c r="C55" s="21" t="str">
        <x:v>Loading-screen portrait</x:v>
      </x:c>
      <x:c r="D55" s="21" t="str">
        <x:v>Menus/HUD</x:v>
      </x:c>
      <x:c r="E55" s="21" t="str">
        <x:v>Localized layout</x:v>
      </x:c>
      <x:c r="F55" s="27" t="str">
        <x:v>Conditional</x:v>
      </x:c>
      <x:c r="G55" s="27" t="str">
        <x:v>P2</x:v>
      </x:c>
      <x:c r="H55" s="27" t="str">
        <x:v>Not Started</x:v>
      </x:c>
      <x:c r="I55" s="27" t="str">
        <x:v>Janfon</x:v>
      </x:c>
      <x:c r="J55" s="21" t="str">
        <x:v>Atlas source or layout-safe artwork</x:v>
      </x:c>
      <x:c r="K55" s="21" t="str">
        <x:v>Works with UNDER-EMPIRE REJECT and Pusfume localization, long-string fallback, and 1080p logical UI scaling.</x:v>
      </x:c>
      <x:c r="L55" s="21" t="str">
        <x:v>SRC-011: scripts/ui/views/hero_view/; SRC-010: scripts/ui/hud_ui/; SRC-019: scripts/ui/hud_ui/component_list_definitions/hud_component_list_versus.lua</x:v>
      </x:c>
      <x:c r="M55" s="21" t="str"/>
    </x:row>
    <x:row r="56" ht="46" customHeight="1">
      <x:c r="A56" s="24" t="str">
        <x:v>UI-052</x:v>
      </x:c>
      <x:c r="B56" s="21" t="str">
        <x:v>Presentation UI</x:v>
      </x:c>
      <x:c r="C56" s="21" t="str">
        <x:v>Scoreboard portrait</x:v>
      </x:c>
      <x:c r="D56" s="21" t="str">
        <x:v>Menus/HUD</x:v>
      </x:c>
      <x:c r="E56" s="21" t="str">
        <x:v>Localized layout</x:v>
      </x:c>
      <x:c r="F56" s="27" t="str">
        <x:v>Required</x:v>
      </x:c>
      <x:c r="G56" s="27" t="str">
        <x:v>P2</x:v>
      </x:c>
      <x:c r="H56" s="27" t="str">
        <x:v>Not Started</x:v>
      </x:c>
      <x:c r="I56" s="27" t="str">
        <x:v>Janfon</x:v>
      </x:c>
      <x:c r="J56" s="21" t="str">
        <x:v>Atlas source or layout-safe artwork</x:v>
      </x:c>
      <x:c r="K56" s="21" t="str">
        <x:v>Works with UNDER-EMPIRE REJECT and Pusfume localization, long-string fallback, and 1080p logical UI scaling.</x:v>
      </x:c>
      <x:c r="L56" s="21" t="str">
        <x:v>SRC-011: scripts/ui/views/hero_view/; SRC-010: scripts/ui/hud_ui/; SRC-019: scripts/ui/hud_ui/component_list_definitions/hud_component_list_versus.lua</x:v>
      </x:c>
      <x:c r="M56" s="21" t="str"/>
    </x:row>
    <x:row r="57" ht="46" customHeight="1">
      <x:c r="A57" s="24" t="str">
        <x:v>UI-053</x:v>
      </x:c>
      <x:c r="B57" s="21" t="str">
        <x:v>Presentation UI</x:v>
      </x:c>
      <x:c r="C57" s="21" t="str">
        <x:v>Spectator portrait</x:v>
      </x:c>
      <x:c r="D57" s="21" t="str">
        <x:v>Menus/HUD</x:v>
      </x:c>
      <x:c r="E57" s="21" t="str">
        <x:v>Localized layout</x:v>
      </x:c>
      <x:c r="F57" s="27" t="str">
        <x:v>Required</x:v>
      </x:c>
      <x:c r="G57" s="27" t="str">
        <x:v>P2</x:v>
      </x:c>
      <x:c r="H57" s="27" t="str">
        <x:v>Not Started</x:v>
      </x:c>
      <x:c r="I57" s="27" t="str">
        <x:v>Janfon</x:v>
      </x:c>
      <x:c r="J57" s="21" t="str">
        <x:v>Atlas source or layout-safe artwork</x:v>
      </x:c>
      <x:c r="K57" s="21" t="str">
        <x:v>Works with UNDER-EMPIRE REJECT and Pusfume localization, long-string fallback, and 1080p logical UI scaling.</x:v>
      </x:c>
      <x:c r="L57" s="21" t="str">
        <x:v>SRC-011: scripts/ui/views/hero_view/; SRC-010: scripts/ui/hud_ui/; SRC-019: scripts/ui/hud_ui/component_list_definitions/hud_component_list_versus.lua</x:v>
      </x:c>
      <x:c r="M57" s="21" t="str"/>
    </x:row>
    <x:row r="58" ht="46" customHeight="1">
      <x:c r="A58" s="24" t="str">
        <x:v>UI-054</x:v>
      </x:c>
      <x:c r="B58" s="21" t="str">
        <x:v>Presentation UI</x:v>
      </x:c>
      <x:c r="C58" s="21" t="str">
        <x:v>Respawn portrait</x:v>
      </x:c>
      <x:c r="D58" s="21" t="str">
        <x:v>Menus/HUD</x:v>
      </x:c>
      <x:c r="E58" s="21" t="str">
        <x:v>Localized layout</x:v>
      </x:c>
      <x:c r="F58" s="27" t="str">
        <x:v>Required</x:v>
      </x:c>
      <x:c r="G58" s="27" t="str">
        <x:v>P2</x:v>
      </x:c>
      <x:c r="H58" s="27" t="str">
        <x:v>Not Started</x:v>
      </x:c>
      <x:c r="I58" s="27" t="str">
        <x:v>Janfon</x:v>
      </x:c>
      <x:c r="J58" s="21" t="str">
        <x:v>Atlas source or layout-safe artwork</x:v>
      </x:c>
      <x:c r="K58" s="21" t="str">
        <x:v>Works with UNDER-EMPIRE REJECT and Pusfume localization, long-string fallback, and 1080p logical UI scaling.</x:v>
      </x:c>
      <x:c r="L58" s="21" t="str">
        <x:v>SRC-011: scripts/ui/views/hero_view/; SRC-010: scripts/ui/hud_ui/; SRC-019: scripts/ui/hud_ui/component_list_definitions/hud_component_list_versus.lua</x:v>
      </x:c>
      <x:c r="M58" s="21" t="str"/>
    </x:row>
    <x:row r="59" ht="46" customHeight="1">
      <x:c r="A59" s="24" t="str">
        <x:v>UI-055</x:v>
      </x:c>
      <x:c r="B59" s="21" t="str">
        <x:v>Presentation UI</x:v>
      </x:c>
      <x:c r="C59" s="21" t="str">
        <x:v>Chat/voice indicator portrait</x:v>
      </x:c>
      <x:c r="D59" s="21" t="str">
        <x:v>Menus/HUD</x:v>
      </x:c>
      <x:c r="E59" s="21" t="str">
        <x:v>Localized layout</x:v>
      </x:c>
      <x:c r="F59" s="27" t="str">
        <x:v>Required</x:v>
      </x:c>
      <x:c r="G59" s="27" t="str">
        <x:v>P2</x:v>
      </x:c>
      <x:c r="H59" s="27" t="str">
        <x:v>Not Started</x:v>
      </x:c>
      <x:c r="I59" s="27" t="str">
        <x:v>Janfon</x:v>
      </x:c>
      <x:c r="J59" s="21" t="str">
        <x:v>Atlas source or layout-safe artwork</x:v>
      </x:c>
      <x:c r="K59" s="21" t="str">
        <x:v>Works with UNDER-EMPIRE REJECT and Pusfume localization, long-string fallback, and 1080p logical UI scaling.</x:v>
      </x:c>
      <x:c r="L59" s="21" t="str">
        <x:v>SRC-011: scripts/ui/views/hero_view/; SRC-010: scripts/ui/hud_ui/; SRC-019: scripts/ui/hud_ui/component_list_definitions/hud_component_list_versus.lua</x:v>
      </x:c>
      <x:c r="M59" s="21" t="str"/>
    </x:row>
    <x:row r="60" ht="46" customHeight="1">
      <x:c r="A60" s="25" t="str">
        <x:v>UI-056</x:v>
      </x:c>
      <x:c r="B60" s="22" t="str">
        <x:v>Presentation UI</x:v>
      </x:c>
      <x:c r="C60" s="22" t="str">
        <x:v>Accessibility contrast pass</x:v>
      </x:c>
      <x:c r="D60" s="22" t="str">
        <x:v>Menus/HUD</x:v>
      </x:c>
      <x:c r="E60" s="22" t="str">
        <x:v>Localized layout</x:v>
      </x:c>
      <x:c r="F60" s="28" t="str">
        <x:v>Required</x:v>
      </x:c>
      <x:c r="G60" s="28" t="str">
        <x:v>P2</x:v>
      </x:c>
      <x:c r="H60" s="28" t="str">
        <x:v>Not Started</x:v>
      </x:c>
      <x:c r="I60" s="28" t="str">
        <x:v>Janfon</x:v>
      </x:c>
      <x:c r="J60" s="22" t="str">
        <x:v>Atlas source or layout-safe artwork</x:v>
      </x:c>
      <x:c r="K60" s="22" t="str">
        <x:v>Works with UNDER-EMPIRE REJECT and Pusfume localization, long-string fallback, and 1080p logical UI scaling.</x:v>
      </x:c>
      <x:c r="L60" s="22" t="str">
        <x:v>SRC-011: scripts/ui/views/hero_view/; SRC-010: scripts/ui/hud_ui/; SRC-019: scripts/ui/hud_ui/component_list_definitions/hud_component_list_versus.lua</x:v>
      </x:c>
      <x:c r="M60" s="22" t="str"/>
    </x:row>
  </x:sheetData>
  <x:mergeCells>
    <x:mergeCell ref="A1:M1"/>
    <x:mergeCell ref="A2:M2"/>
  </x:mergeCells>
  <x:conditionalFormatting sqref="H5:H60">
    <x:cfRule type="containsText" dxfId="18" priority="1" operator="containsText" text="Complete"/>
    <x:cfRule type="containsText" dxfId="19" priority="2" operator="containsText" text="In Progress"/>
    <x:cfRule type="containsText" dxfId="20" priority="3" operator="containsText" text="Prototype Ready"/>
    <x:cfRule type="containsText" dxfId="21" priority="4" operator="containsText" text="Blocked"/>
  </x:conditionalFormatting>
  <x:conditionalFormatting sqref="G5:G60">
    <x:cfRule type="containsText" dxfId="22" priority="5" operator="containsText" text="P0"/>
    <x:cfRule type="containsText" dxfId="23" priority="6" operator="containsText" text="P1"/>
  </x:conditionalFormatting>
  <x:dataValidations count="4">
    <x:dataValidation type="list" sqref="F5:F60">
      <x:formula1>"Required,Optional,Conditional"</x:formula1>
    </x:dataValidation>
    <x:dataValidation type="list" sqref="G5:G60">
      <x:formula1>"P0,P1,P2,P3"</x:formula1>
    </x:dataValidation>
    <x:dataValidation type="list" sqref="H5:H60">
      <x:formula1>"Not Started,In Progress,Ready for Review,Prototype Ready,Blocked,Complete,Not Applicable"</x:formula1>
    </x:dataValidation>
    <x:dataValidation type="list" sqref="I5:I60">
      <x:formula1>"Janfon,Engineering,Audio,VFX,Design,QA,Janfon + Engineering,Unassigned"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a0aa36510b48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6" hidden="0" customWidth="1"/>
    <x:col min="5" max="5" width="25" hidden="0" customWidth="1"/>
    <x:col min="6" max="6" width="14" hidden="0" customWidth="1"/>
    <x:col min="7" max="7" width="12" hidden="0" customWidth="1"/>
    <x:col min="8" max="8" width="19" hidden="0" customWidth="1"/>
    <x:col min="9" max="9" width="20" hidden="0" customWidth="1"/>
    <x:col min="10" max="10" width="31" hidden="0" customWidth="1"/>
    <x:col min="11" max="11" width="58" hidden="0" customWidth="1"/>
    <x:col min="12" max="12" width="58" hidden="0" customWidth="1"/>
    <x:col min="13" max="13" width="44" hidden="0" customWidth="1"/>
  </x:cols>
  <x:sheetData>
    <x:row r="1" ht="34" customHeight="1">
      <x:c r="A1" s="3" t="str">
        <x:v>Audio &amp; Voice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Temporary Versus-rat routing plus the complete original VO, exertion, foley, career SFX, quest, team, and social recording inventory.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ID</x:v>
      </x:c>
      <x:c r="B4" s="12" t="str">
        <x:v>Workstream</x:v>
      </x:c>
      <x:c r="C4" s="12" t="str">
        <x:v>Asset / Motion</x:v>
      </x:c>
      <x:c r="D4" s="12" t="str">
        <x:v>Perspective</x:v>
      </x:c>
      <x:c r="E4" s="12" t="str">
        <x:v>Variant / Direction</x:v>
      </x:c>
      <x:c r="F4" s="12" t="str">
        <x:v>Requirement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Deliverable / Format</x:v>
      </x:c>
      <x:c r="K4" s="12" t="str">
        <x:v>Acceptance Criteria</x:v>
      </x:c>
      <x:c r="L4" s="12" t="str">
        <x:v>VT2 Source Reference</x:v>
      </x:c>
      <x:c r="M4" s="12" t="str">
        <x:v>Notes</x:v>
      </x:c>
    </x:row>
    <x:row r="5" ht="46" customHeight="1">
      <x:c r="A5" s="23" t="str">
        <x:v>AUD-001</x:v>
      </x:c>
      <x:c r="B5" s="20" t="str">
        <x:v>Temporary VO routing</x:v>
      </x:c>
      <x:c r="C5" s="20" t="str">
        <x:v>Playable Globadier combat voice substitution</x:v>
      </x:c>
      <x:c r="D5" s="20" t="str">
        <x:v>Player</x:v>
      </x:c>
      <x:c r="E5" s="20" t="str">
        <x:v>character_vo=vs_poison_wind_globadier</x:v>
      </x:c>
      <x:c r="F5" s="26" t="str">
        <x:v>Required</x:v>
      </x:c>
      <x:c r="G5" s="26" t="str">
        <x:v>P0</x:v>
      </x:c>
      <x:c r="H5" s="26" t="str">
        <x:v>In Progress</x:v>
      </x:c>
      <x:c r="I5" s="26" t="str">
        <x:v>Engineering</x:v>
      </x:c>
      <x:c r="J5" s="20" t="str">
        <x:v>Runtime routing; no new audio file</x:v>
      </x:c>
      <x:c r="K5" s="20" t="str">
        <x:v>Weapon exertions and non-dialogue rat vocalizations replace Bardin where compatible, without changing Bardin's shared profile globally.</x:v>
      </x:c>
      <x:c r="L5" s="20" t="str">
        <x:v>SRC-007: scripts/settings/profiles/vs_profiles.lua; SRC-005: scripts/settings/profiles/career_settings_vs.lua</x:v>
      </x:c>
      <x:c r="M5" s="20" t="str">
        <x:v>Temporary implementation reference until original Pusfume VO is recorded.</x:v>
      </x:c>
    </x:row>
    <x:row r="6" ht="46" customHeight="1">
      <x:c r="A6" s="24" t="str">
        <x:v>AUD-002</x:v>
      </x:c>
      <x:c r="B6" s="21" t="str">
        <x:v>Movement exertion</x:v>
      </x:c>
      <x:c r="C6" s="21" t="str">
        <x:v>Jump</x:v>
      </x:c>
      <x:c r="D6" s="21" t="str">
        <x:v>Player/3D VO</x:v>
      </x:c>
      <x:c r="E6" s="21" t="str">
        <x:v>3-6 variations</x:v>
      </x:c>
      <x:c r="F6" s="27" t="str">
        <x:v>Required</x:v>
      </x:c>
      <x:c r="G6" s="27" t="str">
        <x:v>P2</x:v>
      </x:c>
      <x:c r="H6" s="27" t="str">
        <x:v>Not Started</x:v>
      </x:c>
      <x:c r="I6" s="27" t="str">
        <x:v>Audio</x:v>
      </x:c>
      <x:c r="J6" s="21" t="str">
        <x:v>48 kHz mono WAV masters + Wwise event plan</x:v>
      </x:c>
      <x:c r="K6" s="21" t="str">
        <x:v>No Bardin performance remains; variation avoids obvious repetition; loudness, distance curve, and interruption behavior match VT2 player VO.</x:v>
      </x:c>
      <x:c r="L6" s="21" t="str">
        <x:v>SRC-013: scripts/settings/dialogue_settings.lua; SRC-007: scripts/settings/profiles/vs_profiles.lua</x:v>
      </x:c>
      <x:c r="M6" s="21" t="str"/>
    </x:row>
    <x:row r="7" ht="46" customHeight="1">
      <x:c r="A7" s="24" t="str">
        <x:v>AUD-003</x:v>
      </x:c>
      <x:c r="B7" s="21" t="str">
        <x:v>Movement exertion</x:v>
      </x:c>
      <x:c r="C7" s="21" t="str">
        <x:v>Dodge</x:v>
      </x:c>
      <x:c r="D7" s="21" t="str">
        <x:v>Player/3D VO</x:v>
      </x:c>
      <x:c r="E7" s="21" t="str">
        <x:v>3-6 variations</x:v>
      </x:c>
      <x:c r="F7" s="27" t="str">
        <x:v>Required</x:v>
      </x:c>
      <x:c r="G7" s="27" t="str">
        <x:v>P2</x:v>
      </x:c>
      <x:c r="H7" s="27" t="str">
        <x:v>Not Started</x:v>
      </x:c>
      <x:c r="I7" s="27" t="str">
        <x:v>Audio</x:v>
      </x:c>
      <x:c r="J7" s="21" t="str">
        <x:v>48 kHz mono WAV masters + Wwise event plan</x:v>
      </x:c>
      <x:c r="K7" s="21" t="str">
        <x:v>No Bardin performance remains; variation avoids obvious repetition; loudness, distance curve, and interruption behavior match VT2 player VO.</x:v>
      </x:c>
      <x:c r="L7" s="21" t="str">
        <x:v>SRC-013: scripts/settings/dialogue_settings.lua; SRC-007: scripts/settings/profiles/vs_profiles.lua</x:v>
      </x:c>
      <x:c r="M7" s="21" t="str"/>
    </x:row>
    <x:row r="8" ht="46" customHeight="1">
      <x:c r="A8" s="24" t="str">
        <x:v>AUD-004</x:v>
      </x:c>
      <x:c r="B8" s="21" t="str">
        <x:v>Movement exertion</x:v>
      </x:c>
      <x:c r="C8" s="21" t="str">
        <x:v>Sprint/run</x:v>
      </x:c>
      <x:c r="D8" s="21" t="str">
        <x:v>Player/3D VO</x:v>
      </x:c>
      <x:c r="E8" s="21" t="str">
        <x:v>3-6 variations</x:v>
      </x:c>
      <x:c r="F8" s="27" t="str">
        <x:v>Required</x:v>
      </x:c>
      <x:c r="G8" s="27" t="str">
        <x:v>P2</x:v>
      </x:c>
      <x:c r="H8" s="27" t="str">
        <x:v>Not Started</x:v>
      </x:c>
      <x:c r="I8" s="27" t="str">
        <x:v>Audio</x:v>
      </x:c>
      <x:c r="J8" s="21" t="str">
        <x:v>48 kHz mono WAV masters + Wwise event plan</x:v>
      </x:c>
      <x:c r="K8" s="21" t="str">
        <x:v>No Bardin performance remains; variation avoids obvious repetition; loudness, distance curve, and interruption behavior match VT2 player VO.</x:v>
      </x:c>
      <x:c r="L8" s="21" t="str">
        <x:v>SRC-013: scripts/settings/dialogue_settings.lua; SRC-007: scripts/settings/profiles/vs_profiles.lua</x:v>
      </x:c>
      <x:c r="M8" s="21" t="str"/>
    </x:row>
    <x:row r="9" ht="46" customHeight="1">
      <x:c r="A9" s="24" t="str">
        <x:v>AUD-005</x:v>
      </x:c>
      <x:c r="B9" s="21" t="str">
        <x:v>Movement exertion</x:v>
      </x:c>
      <x:c r="C9" s="21" t="str">
        <x:v>Hard landing</x:v>
      </x:c>
      <x:c r="D9" s="21" t="str">
        <x:v>Player/3D VO</x:v>
      </x:c>
      <x:c r="E9" s="21" t="str">
        <x:v>3-6 variations</x:v>
      </x:c>
      <x:c r="F9" s="27" t="str">
        <x:v>Required</x:v>
      </x:c>
      <x:c r="G9" s="27" t="str">
        <x:v>P2</x:v>
      </x:c>
      <x:c r="H9" s="27" t="str">
        <x:v>Not Started</x:v>
      </x:c>
      <x:c r="I9" s="27" t="str">
        <x:v>Audio</x:v>
      </x:c>
      <x:c r="J9" s="21" t="str">
        <x:v>48 kHz mono WAV masters + Wwise event plan</x:v>
      </x:c>
      <x:c r="K9" s="21" t="str">
        <x:v>No Bardin performance remains; variation avoids obvious repetition; loudness, distance curve, and interruption behavior match VT2 player VO.</x:v>
      </x:c>
      <x:c r="L9" s="21" t="str">
        <x:v>SRC-013: scripts/settings/dialogue_settings.lua; SRC-007: scripts/settings/profiles/vs_profiles.lua</x:v>
      </x:c>
      <x:c r="M9" s="21" t="str"/>
    </x:row>
    <x:row r="10" ht="46" customHeight="1">
      <x:c r="A10" s="24" t="str">
        <x:v>AUD-006</x:v>
      </x:c>
      <x:c r="B10" s="21" t="str">
        <x:v>Movement exertion</x:v>
      </x:c>
      <x:c r="C10" s="21" t="str">
        <x:v>Climb/ledge pull-up</x:v>
      </x:c>
      <x:c r="D10" s="21" t="str">
        <x:v>Player/3D VO</x:v>
      </x:c>
      <x:c r="E10" s="21" t="str">
        <x:v>3-6 variations</x:v>
      </x:c>
      <x:c r="F10" s="27" t="str">
        <x:v>Required</x:v>
      </x:c>
      <x:c r="G10" s="27" t="str">
        <x:v>P2</x:v>
      </x:c>
      <x:c r="H10" s="27" t="str">
        <x:v>Not Started</x:v>
      </x:c>
      <x:c r="I10" s="27" t="str">
        <x:v>Audio</x:v>
      </x:c>
      <x:c r="J10" s="21" t="str">
        <x:v>48 kHz mono WAV masters + Wwise event plan</x:v>
      </x:c>
      <x:c r="K10" s="21" t="str">
        <x:v>No Bardin performance remains; variation avoids obvious repetition; loudness, distance curve, and interruption behavior match VT2 player VO.</x:v>
      </x:c>
      <x:c r="L10" s="21" t="str">
        <x:v>SRC-013: scripts/settings/dialogue_settings.lua; SRC-007: scripts/settings/profiles/vs_profiles.lua</x:v>
      </x:c>
      <x:c r="M10" s="21" t="str"/>
    </x:row>
    <x:row r="11" ht="46" customHeight="1">
      <x:c r="A11" s="24" t="str">
        <x:v>AUD-007</x:v>
      </x:c>
      <x:c r="B11" s="21" t="str">
        <x:v>Movement exertion</x:v>
      </x:c>
      <x:c r="C11" s="21" t="str">
        <x:v>Carry strain</x:v>
      </x:c>
      <x:c r="D11" s="21" t="str">
        <x:v>Player/3D VO</x:v>
      </x:c>
      <x:c r="E11" s="21" t="str">
        <x:v>3-6 variations</x:v>
      </x:c>
      <x:c r="F11" s="27" t="str">
        <x:v>Required</x:v>
      </x:c>
      <x:c r="G11" s="27" t="str">
        <x:v>P2</x:v>
      </x:c>
      <x:c r="H11" s="27" t="str">
        <x:v>Not Started</x:v>
      </x:c>
      <x:c r="I11" s="27" t="str">
        <x:v>Audio</x:v>
      </x:c>
      <x:c r="J11" s="21" t="str">
        <x:v>48 kHz mono WAV masters + Wwise event plan</x:v>
      </x:c>
      <x:c r="K11" s="21" t="str">
        <x:v>No Bardin performance remains; variation avoids obvious repetition; loudness, distance curve, and interruption behavior match VT2 player VO.</x:v>
      </x:c>
      <x:c r="L11" s="21" t="str">
        <x:v>SRC-013: scripts/settings/dialogue_settings.lua; SRC-007: scripts/settings/profiles/vs_profiles.lua</x:v>
      </x:c>
      <x:c r="M11" s="21" t="str"/>
    </x:row>
    <x:row r="12" ht="46" customHeight="1">
      <x:c r="A12" s="24" t="str">
        <x:v>AUD-008</x:v>
      </x:c>
      <x:c r="B12" s="21" t="str">
        <x:v>Melee exertion</x:v>
      </x:c>
      <x:c r="C12" s="21" t="str">
        <x:v>Light attack short</x:v>
      </x:c>
      <x:c r="D12" s="21" t="str">
        <x:v>Player/3D VO</x:v>
      </x:c>
      <x:c r="E12" s="21" t="str">
        <x:v>3-6 variations</x:v>
      </x:c>
      <x:c r="F12" s="27" t="str">
        <x:v>Required</x:v>
      </x:c>
      <x:c r="G12" s="27" t="str">
        <x:v>P1</x:v>
      </x:c>
      <x:c r="H12" s="27" t="str">
        <x:v>Not Started</x:v>
      </x:c>
      <x:c r="I12" s="27" t="str">
        <x:v>Audio</x:v>
      </x:c>
      <x:c r="J12" s="21" t="str">
        <x:v>48 kHz mono WAV masters + Wwise event plan</x:v>
      </x:c>
      <x:c r="K12" s="21" t="str">
        <x:v>No Bardin performance remains; variation avoids obvious repetition; loudness, distance curve, and interruption behavior match VT2 player VO.</x:v>
      </x:c>
      <x:c r="L12" s="21" t="str">
        <x:v>SRC-013: scripts/settings/dialogue_settings.lua; SRC-007: scripts/settings/profiles/vs_profiles.lua</x:v>
      </x:c>
      <x:c r="M12" s="21" t="str"/>
    </x:row>
    <x:row r="13" ht="46" customHeight="1">
      <x:c r="A13" s="24" t="str">
        <x:v>AUD-009</x:v>
      </x:c>
      <x:c r="B13" s="21" t="str">
        <x:v>Melee exertion</x:v>
      </x:c>
      <x:c r="C13" s="21" t="str">
        <x:v>Light attack long</x:v>
      </x:c>
      <x:c r="D13" s="21" t="str">
        <x:v>Player/3D VO</x:v>
      </x:c>
      <x:c r="E13" s="21" t="str">
        <x:v>3-6 variations</x:v>
      </x:c>
      <x:c r="F13" s="27" t="str">
        <x:v>Required</x:v>
      </x:c>
      <x:c r="G13" s="27" t="str">
        <x:v>P1</x:v>
      </x:c>
      <x:c r="H13" s="27" t="str">
        <x:v>Not Started</x:v>
      </x:c>
      <x:c r="I13" s="27" t="str">
        <x:v>Audio</x:v>
      </x:c>
      <x:c r="J13" s="21" t="str">
        <x:v>48 kHz mono WAV masters + Wwise event plan</x:v>
      </x:c>
      <x:c r="K13" s="21" t="str">
        <x:v>No Bardin performance remains; variation avoids obvious repetition; loudness, distance curve, and interruption behavior match VT2 player VO.</x:v>
      </x:c>
      <x:c r="L13" s="21" t="str">
        <x:v>SRC-013: scripts/settings/dialogue_settings.lua; SRC-007: scripts/settings/profiles/vs_profiles.lua</x:v>
      </x:c>
      <x:c r="M13" s="21" t="str"/>
    </x:row>
    <x:row r="14" ht="46" customHeight="1">
      <x:c r="A14" s="24" t="str">
        <x:v>AUD-010</x:v>
      </x:c>
      <x:c r="B14" s="21" t="str">
        <x:v>Melee exertion</x:v>
      </x:c>
      <x:c r="C14" s="21" t="str">
        <x:v>Heavy charge</x:v>
      </x:c>
      <x:c r="D14" s="21" t="str">
        <x:v>Player/3D VO</x:v>
      </x:c>
      <x:c r="E14" s="21" t="str">
        <x:v>3-6 variations</x:v>
      </x:c>
      <x:c r="F14" s="27" t="str">
        <x:v>Required</x:v>
      </x:c>
      <x:c r="G14" s="27" t="str">
        <x:v>P1</x:v>
      </x:c>
      <x:c r="H14" s="27" t="str">
        <x:v>Not Started</x:v>
      </x:c>
      <x:c r="I14" s="27" t="str">
        <x:v>Audio</x:v>
      </x:c>
      <x:c r="J14" s="21" t="str">
        <x:v>48 kHz mono WAV masters + Wwise event plan</x:v>
      </x:c>
      <x:c r="K14" s="21" t="str">
        <x:v>No Bardin performance remains; variation avoids obvious repetition; loudness, distance curve, and interruption behavior match VT2 player VO.</x:v>
      </x:c>
      <x:c r="L14" s="21" t="str">
        <x:v>SRC-013: scripts/settings/dialogue_settings.lua; SRC-007: scripts/settings/profiles/vs_profiles.lua</x:v>
      </x:c>
      <x:c r="M14" s="21" t="str"/>
    </x:row>
    <x:row r="15" ht="46" customHeight="1">
      <x:c r="A15" s="24" t="str">
        <x:v>AUD-011</x:v>
      </x:c>
      <x:c r="B15" s="21" t="str">
        <x:v>Melee exertion</x:v>
      </x:c>
      <x:c r="C15" s="21" t="str">
        <x:v>Heavy release</x:v>
      </x:c>
      <x:c r="D15" s="21" t="str">
        <x:v>Player/3D VO</x:v>
      </x:c>
      <x:c r="E15" s="21" t="str">
        <x:v>3-6 variations</x:v>
      </x:c>
      <x:c r="F15" s="27" t="str">
        <x:v>Required</x:v>
      </x:c>
      <x:c r="G15" s="27" t="str">
        <x:v>P1</x:v>
      </x:c>
      <x:c r="H15" s="27" t="str">
        <x:v>Not Started</x:v>
      </x:c>
      <x:c r="I15" s="27" t="str">
        <x:v>Audio</x:v>
      </x:c>
      <x:c r="J15" s="21" t="str">
        <x:v>48 kHz mono WAV masters + Wwise event plan</x:v>
      </x:c>
      <x:c r="K15" s="21" t="str">
        <x:v>No Bardin performance remains; variation avoids obvious repetition; loudness, distance curve, and interruption behavior match VT2 player VO.</x:v>
      </x:c>
      <x:c r="L15" s="21" t="str">
        <x:v>SRC-013: scripts/settings/dialogue_settings.lua; SRC-007: scripts/settings/profiles/vs_profiles.lua</x:v>
      </x:c>
      <x:c r="M15" s="21" t="str"/>
    </x:row>
    <x:row r="16" ht="46" customHeight="1">
      <x:c r="A16" s="24" t="str">
        <x:v>AUD-012</x:v>
      </x:c>
      <x:c r="B16" s="21" t="str">
        <x:v>Melee exertion</x:v>
      </x:c>
      <x:c r="C16" s="21" t="str">
        <x:v>Push</x:v>
      </x:c>
      <x:c r="D16" s="21" t="str">
        <x:v>Player/3D VO</x:v>
      </x:c>
      <x:c r="E16" s="21" t="str">
        <x:v>3-6 variations</x:v>
      </x:c>
      <x:c r="F16" s="27" t="str">
        <x:v>Required</x:v>
      </x:c>
      <x:c r="G16" s="27" t="str">
        <x:v>P1</x:v>
      </x:c>
      <x:c r="H16" s="27" t="str">
        <x:v>Not Started</x:v>
      </x:c>
      <x:c r="I16" s="27" t="str">
        <x:v>Audio</x:v>
      </x:c>
      <x:c r="J16" s="21" t="str">
        <x:v>48 kHz mono WAV masters + Wwise event plan</x:v>
      </x:c>
      <x:c r="K16" s="21" t="str">
        <x:v>No Bardin performance remains; variation avoids obvious repetition; loudness, distance curve, and interruption behavior match VT2 player VO.</x:v>
      </x:c>
      <x:c r="L16" s="21" t="str">
        <x:v>SRC-013: scripts/settings/dialogue_settings.lua; SRC-007: scripts/settings/profiles/vs_profiles.lua</x:v>
      </x:c>
      <x:c r="M16" s="21" t="str"/>
    </x:row>
    <x:row r="17" ht="46" customHeight="1">
      <x:c r="A17" s="24" t="str">
        <x:v>AUD-013</x:v>
      </x:c>
      <x:c r="B17" s="21" t="str">
        <x:v>Melee exertion</x:v>
      </x:c>
      <x:c r="C17" s="21" t="str">
        <x:v>Block impact</x:v>
      </x:c>
      <x:c r="D17" s="21" t="str">
        <x:v>Player/3D VO</x:v>
      </x:c>
      <x:c r="E17" s="21" t="str">
        <x:v>3-6 variations</x:v>
      </x:c>
      <x:c r="F17" s="27" t="str">
        <x:v>Required</x:v>
      </x:c>
      <x:c r="G17" s="27" t="str">
        <x:v>P1</x:v>
      </x:c>
      <x:c r="H17" s="27" t="str">
        <x:v>Not Started</x:v>
      </x:c>
      <x:c r="I17" s="27" t="str">
        <x:v>Audio</x:v>
      </x:c>
      <x:c r="J17" s="21" t="str">
        <x:v>48 kHz mono WAV masters + Wwise event plan</x:v>
      </x:c>
      <x:c r="K17" s="21" t="str">
        <x:v>No Bardin performance remains; variation avoids obvious repetition; loudness, distance curve, and interruption behavior match VT2 player VO.</x:v>
      </x:c>
      <x:c r="L17" s="21" t="str">
        <x:v>SRC-013: scripts/settings/dialogue_settings.lua; SRC-007: scripts/settings/profiles/vs_profiles.lua</x:v>
      </x:c>
      <x:c r="M17" s="21" t="str"/>
    </x:row>
    <x:row r="18" ht="46" customHeight="1">
      <x:c r="A18" s="24" t="str">
        <x:v>AUD-014</x:v>
      </x:c>
      <x:c r="B18" s="21" t="str">
        <x:v>Melee exertion</x:v>
      </x:c>
      <x:c r="C18" s="21" t="str">
        <x:v>Parry</x:v>
      </x:c>
      <x:c r="D18" s="21" t="str">
        <x:v>Player/3D VO</x:v>
      </x:c>
      <x:c r="E18" s="21" t="str">
        <x:v>3-6 variations</x:v>
      </x:c>
      <x:c r="F18" s="27" t="str">
        <x:v>Required</x:v>
      </x:c>
      <x:c r="G18" s="27" t="str">
        <x:v>P1</x:v>
      </x:c>
      <x:c r="H18" s="27" t="str">
        <x:v>Not Started</x:v>
      </x:c>
      <x:c r="I18" s="27" t="str">
        <x:v>Audio</x:v>
      </x:c>
      <x:c r="J18" s="21" t="str">
        <x:v>48 kHz mono WAV masters + Wwise event plan</x:v>
      </x:c>
      <x:c r="K18" s="21" t="str">
        <x:v>No Bardin performance remains; variation avoids obvious repetition; loudness, distance curve, and interruption behavior match VT2 player VO.</x:v>
      </x:c>
      <x:c r="L18" s="21" t="str">
        <x:v>SRC-013: scripts/settings/dialogue_settings.lua; SRC-007: scripts/settings/profiles/vs_profiles.lua</x:v>
      </x:c>
      <x:c r="M18" s="21" t="str"/>
    </x:row>
    <x:row r="19" ht="46" customHeight="1">
      <x:c r="A19" s="24" t="str">
        <x:v>AUD-015</x:v>
      </x:c>
      <x:c r="B19" s="21" t="str">
        <x:v>Melee exertion</x:v>
      </x:c>
      <x:c r="C19" s="21" t="str">
        <x:v>Attack whiff</x:v>
      </x:c>
      <x:c r="D19" s="21" t="str">
        <x:v>Player/3D VO</x:v>
      </x:c>
      <x:c r="E19" s="21" t="str">
        <x:v>3-6 variations</x:v>
      </x:c>
      <x:c r="F19" s="27" t="str">
        <x:v>Required</x:v>
      </x:c>
      <x:c r="G19" s="27" t="str">
        <x:v>P1</x:v>
      </x:c>
      <x:c r="H19" s="27" t="str">
        <x:v>Not Started</x:v>
      </x:c>
      <x:c r="I19" s="27" t="str">
        <x:v>Audio</x:v>
      </x:c>
      <x:c r="J19" s="21" t="str">
        <x:v>48 kHz mono WAV masters + Wwise event plan</x:v>
      </x:c>
      <x:c r="K19" s="21" t="str">
        <x:v>No Bardin performance remains; variation avoids obvious repetition; loudness, distance curve, and interruption behavior match VT2 player VO.</x:v>
      </x:c>
      <x:c r="L19" s="21" t="str">
        <x:v>SRC-013: scripts/settings/dialogue_settings.lua; SRC-007: scripts/settings/profiles/vs_profiles.lua</x:v>
      </x:c>
      <x:c r="M19" s="21" t="str"/>
    </x:row>
    <x:row r="20" ht="46" customHeight="1">
      <x:c r="A20" s="24" t="str">
        <x:v>AUD-016</x:v>
      </x:c>
      <x:c r="B20" s="21" t="str">
        <x:v>Ranged exertion</x:v>
      </x:c>
      <x:c r="C20" s="21" t="str">
        <x:v>Aim</x:v>
      </x:c>
      <x:c r="D20" s="21" t="str">
        <x:v>Player/3D VO</x:v>
      </x:c>
      <x:c r="E20" s="21" t="str">
        <x:v>3-6 variations</x:v>
      </x:c>
      <x:c r="F20" s="27" t="str">
        <x:v>Required</x:v>
      </x:c>
      <x:c r="G20" s="27" t="str">
        <x:v>P2</x:v>
      </x:c>
      <x:c r="H20" s="27" t="str">
        <x:v>Not Started</x:v>
      </x:c>
      <x:c r="I20" s="27" t="str">
        <x:v>Audio</x:v>
      </x:c>
      <x:c r="J20" s="21" t="str">
        <x:v>48 kHz mono WAV masters + Wwise event plan</x:v>
      </x:c>
      <x:c r="K20" s="21" t="str">
        <x:v>No Bardin performance remains; variation avoids obvious repetition; loudness, distance curve, and interruption behavior match VT2 player VO.</x:v>
      </x:c>
      <x:c r="L20" s="21" t="str">
        <x:v>SRC-013: scripts/settings/dialogue_settings.lua; SRC-007: scripts/settings/profiles/vs_profiles.lua</x:v>
      </x:c>
      <x:c r="M20" s="21" t="str"/>
    </x:row>
    <x:row r="21" ht="46" customHeight="1">
      <x:c r="A21" s="24" t="str">
        <x:v>AUD-017</x:v>
      </x:c>
      <x:c r="B21" s="21" t="str">
        <x:v>Ranged exertion</x:v>
      </x:c>
      <x:c r="C21" s="21" t="str">
        <x:v>Fire/release</x:v>
      </x:c>
      <x:c r="D21" s="21" t="str">
        <x:v>Player/3D VO</x:v>
      </x:c>
      <x:c r="E21" s="21" t="str">
        <x:v>3-6 variations</x:v>
      </x:c>
      <x:c r="F21" s="27" t="str">
        <x:v>Required</x:v>
      </x:c>
      <x:c r="G21" s="27" t="str">
        <x:v>P2</x:v>
      </x:c>
      <x:c r="H21" s="27" t="str">
        <x:v>Not Started</x:v>
      </x:c>
      <x:c r="I21" s="27" t="str">
        <x:v>Audio</x:v>
      </x:c>
      <x:c r="J21" s="21" t="str">
        <x:v>48 kHz mono WAV masters + Wwise event plan</x:v>
      </x:c>
      <x:c r="K21" s="21" t="str">
        <x:v>No Bardin performance remains; variation avoids obvious repetition; loudness, distance curve, and interruption behavior match VT2 player VO.</x:v>
      </x:c>
      <x:c r="L21" s="21" t="str">
        <x:v>SRC-013: scripts/settings/dialogue_settings.lua; SRC-007: scripts/settings/profiles/vs_profiles.lua</x:v>
      </x:c>
      <x:c r="M21" s="21" t="str"/>
    </x:row>
    <x:row r="22" ht="46" customHeight="1">
      <x:c r="A22" s="24" t="str">
        <x:v>AUD-018</x:v>
      </x:c>
      <x:c r="B22" s="21" t="str">
        <x:v>Ranged exertion</x:v>
      </x:c>
      <x:c r="C22" s="21" t="str">
        <x:v>Recoil</x:v>
      </x:c>
      <x:c r="D22" s="21" t="str">
        <x:v>Player/3D VO</x:v>
      </x:c>
      <x:c r="E22" s="21" t="str">
        <x:v>3-6 variations</x:v>
      </x:c>
      <x:c r="F22" s="27" t="str">
        <x:v>Required</x:v>
      </x:c>
      <x:c r="G22" s="27" t="str">
        <x:v>P2</x:v>
      </x:c>
      <x:c r="H22" s="27" t="str">
        <x:v>Not Started</x:v>
      </x:c>
      <x:c r="I22" s="27" t="str">
        <x:v>Audio</x:v>
      </x:c>
      <x:c r="J22" s="21" t="str">
        <x:v>48 kHz mono WAV masters + Wwise event plan</x:v>
      </x:c>
      <x:c r="K22" s="21" t="str">
        <x:v>No Bardin performance remains; variation avoids obvious repetition; loudness, distance curve, and interruption behavior match VT2 player VO.</x:v>
      </x:c>
      <x:c r="L22" s="21" t="str">
        <x:v>SRC-013: scripts/settings/dialogue_settings.lua; SRC-007: scripts/settings/profiles/vs_profiles.lua</x:v>
      </x:c>
      <x:c r="M22" s="21" t="str"/>
    </x:row>
    <x:row r="23" ht="46" customHeight="1">
      <x:c r="A23" s="24" t="str">
        <x:v>AUD-019</x:v>
      </x:c>
      <x:c r="B23" s="21" t="str">
        <x:v>Ranged exertion</x:v>
      </x:c>
      <x:c r="C23" s="21" t="str">
        <x:v>Reload effort</x:v>
      </x:c>
      <x:c r="D23" s="21" t="str">
        <x:v>Player/3D VO</x:v>
      </x:c>
      <x:c r="E23" s="21" t="str">
        <x:v>3-6 variations</x:v>
      </x:c>
      <x:c r="F23" s="27" t="str">
        <x:v>Required</x:v>
      </x:c>
      <x:c r="G23" s="27" t="str">
        <x:v>P2</x:v>
      </x:c>
      <x:c r="H23" s="27" t="str">
        <x:v>Not Started</x:v>
      </x:c>
      <x:c r="I23" s="27" t="str">
        <x:v>Audio</x:v>
      </x:c>
      <x:c r="J23" s="21" t="str">
        <x:v>48 kHz mono WAV masters + Wwise event plan</x:v>
      </x:c>
      <x:c r="K23" s="21" t="str">
        <x:v>No Bardin performance remains; variation avoids obvious repetition; loudness, distance curve, and interruption behavior match VT2 player VO.</x:v>
      </x:c>
      <x:c r="L23" s="21" t="str">
        <x:v>SRC-013: scripts/settings/dialogue_settings.lua; SRC-007: scripts/settings/profiles/vs_profiles.lua</x:v>
      </x:c>
      <x:c r="M23" s="21" t="str"/>
    </x:row>
    <x:row r="24" ht="46" customHeight="1">
      <x:c r="A24" s="24" t="str">
        <x:v>AUD-020</x:v>
      </x:c>
      <x:c r="B24" s="21" t="str">
        <x:v>Ranged exertion</x:v>
      </x:c>
      <x:c r="C24" s="21" t="str">
        <x:v>Throw charge</x:v>
      </x:c>
      <x:c r="D24" s="21" t="str">
        <x:v>Player/3D VO</x:v>
      </x:c>
      <x:c r="E24" s="21" t="str">
        <x:v>3-6 variations</x:v>
      </x:c>
      <x:c r="F24" s="27" t="str">
        <x:v>Required</x:v>
      </x:c>
      <x:c r="G24" s="27" t="str">
        <x:v>P2</x:v>
      </x:c>
      <x:c r="H24" s="27" t="str">
        <x:v>Not Started</x:v>
      </x:c>
      <x:c r="I24" s="27" t="str">
        <x:v>Audio</x:v>
      </x:c>
      <x:c r="J24" s="21" t="str">
        <x:v>48 kHz mono WAV masters + Wwise event plan</x:v>
      </x:c>
      <x:c r="K24" s="21" t="str">
        <x:v>No Bardin performance remains; variation avoids obvious repetition; loudness, distance curve, and interruption behavior match VT2 player VO.</x:v>
      </x:c>
      <x:c r="L24" s="21" t="str">
        <x:v>SRC-013: scripts/settings/dialogue_settings.lua; SRC-007: scripts/settings/profiles/vs_profiles.lua</x:v>
      </x:c>
      <x:c r="M24" s="21" t="str"/>
    </x:row>
    <x:row r="25" ht="46" customHeight="1">
      <x:c r="A25" s="24" t="str">
        <x:v>AUD-021</x:v>
      </x:c>
      <x:c r="B25" s="21" t="str">
        <x:v>Ranged exertion</x:v>
      </x:c>
      <x:c r="C25" s="21" t="str">
        <x:v>Throw release</x:v>
      </x:c>
      <x:c r="D25" s="21" t="str">
        <x:v>Player/3D VO</x:v>
      </x:c>
      <x:c r="E25" s="21" t="str">
        <x:v>3-6 variations</x:v>
      </x:c>
      <x:c r="F25" s="27" t="str">
        <x:v>Required</x:v>
      </x:c>
      <x:c r="G25" s="27" t="str">
        <x:v>P2</x:v>
      </x:c>
      <x:c r="H25" s="27" t="str">
        <x:v>Not Started</x:v>
      </x:c>
      <x:c r="I25" s="27" t="str">
        <x:v>Audio</x:v>
      </x:c>
      <x:c r="J25" s="21" t="str">
        <x:v>48 kHz mono WAV masters + Wwise event plan</x:v>
      </x:c>
      <x:c r="K25" s="21" t="str">
        <x:v>No Bardin performance remains; variation avoids obvious repetition; loudness, distance curve, and interruption behavior match VT2 player VO.</x:v>
      </x:c>
      <x:c r="L25" s="21" t="str">
        <x:v>SRC-013: scripts/settings/dialogue_settings.lua; SRC-007: scripts/settings/profiles/vs_profiles.lua</x:v>
      </x:c>
      <x:c r="M25" s="21" t="str"/>
    </x:row>
    <x:row r="26" ht="46" customHeight="1">
      <x:c r="A26" s="24" t="str">
        <x:v>AUD-022</x:v>
      </x:c>
      <x:c r="B26" s="21" t="str">
        <x:v>Ranged exertion</x:v>
      </x:c>
      <x:c r="C26" s="21" t="str">
        <x:v>Dry fire reaction</x:v>
      </x:c>
      <x:c r="D26" s="21" t="str">
        <x:v>Player/3D VO</x:v>
      </x:c>
      <x:c r="E26" s="21" t="str">
        <x:v>3-6 variations</x:v>
      </x:c>
      <x:c r="F26" s="27" t="str">
        <x:v>Required</x:v>
      </x:c>
      <x:c r="G26" s="27" t="str">
        <x:v>P2</x:v>
      </x:c>
      <x:c r="H26" s="27" t="str">
        <x:v>Not Started</x:v>
      </x:c>
      <x:c r="I26" s="27" t="str">
        <x:v>Audio</x:v>
      </x:c>
      <x:c r="J26" s="21" t="str">
        <x:v>48 kHz mono WAV masters + Wwise event plan</x:v>
      </x:c>
      <x:c r="K26" s="21" t="str">
        <x:v>No Bardin performance remains; variation avoids obvious repetition; loudness, distance curve, and interruption behavior match VT2 player VO.</x:v>
      </x:c>
      <x:c r="L26" s="21" t="str">
        <x:v>SRC-013: scripts/settings/dialogue_settings.lua; SRC-007: scripts/settings/profiles/vs_profiles.lua</x:v>
      </x:c>
      <x:c r="M26" s="21" t="str"/>
    </x:row>
    <x:row r="27" ht="46" customHeight="1">
      <x:c r="A27" s="24" t="str">
        <x:v>AUD-023</x:v>
      </x:c>
      <x:c r="B27" s="21" t="str">
        <x:v>Damage VO</x:v>
      </x:c>
      <x:c r="C27" s="21" t="str">
        <x:v>Light hurt</x:v>
      </x:c>
      <x:c r="D27" s="21" t="str">
        <x:v>Player/3D VO</x:v>
      </x:c>
      <x:c r="E27" s="21" t="str">
        <x:v>3-6 variations</x:v>
      </x:c>
      <x:c r="F27" s="27" t="str">
        <x:v>Required</x:v>
      </x:c>
      <x:c r="G27" s="27" t="str">
        <x:v>P1</x:v>
      </x:c>
      <x:c r="H27" s="27" t="str">
        <x:v>Not Started</x:v>
      </x:c>
      <x:c r="I27" s="27" t="str">
        <x:v>Audio</x:v>
      </x:c>
      <x:c r="J27" s="21" t="str">
        <x:v>48 kHz mono WAV masters + Wwise event plan</x:v>
      </x:c>
      <x:c r="K27" s="21" t="str">
        <x:v>No Bardin performance remains; variation avoids obvious repetition; loudness, distance curve, and interruption behavior match VT2 player VO.</x:v>
      </x:c>
      <x:c r="L27" s="21" t="str">
        <x:v>SRC-013: scripts/settings/dialogue_settings.lua; SRC-007: scripts/settings/profiles/vs_profiles.lua</x:v>
      </x:c>
      <x:c r="M27" s="21" t="str"/>
    </x:row>
    <x:row r="28" ht="46" customHeight="1">
      <x:c r="A28" s="24" t="str">
        <x:v>AUD-024</x:v>
      </x:c>
      <x:c r="B28" s="21" t="str">
        <x:v>Damage VO</x:v>
      </x:c>
      <x:c r="C28" s="21" t="str">
        <x:v>Heavy hurt</x:v>
      </x:c>
      <x:c r="D28" s="21" t="str">
        <x:v>Player/3D VO</x:v>
      </x:c>
      <x:c r="E28" s="21" t="str">
        <x:v>3-6 variations</x:v>
      </x:c>
      <x:c r="F28" s="27" t="str">
        <x:v>Required</x:v>
      </x:c>
      <x:c r="G28" s="27" t="str">
        <x:v>P1</x:v>
      </x:c>
      <x:c r="H28" s="27" t="str">
        <x:v>Not Started</x:v>
      </x:c>
      <x:c r="I28" s="27" t="str">
        <x:v>Audio</x:v>
      </x:c>
      <x:c r="J28" s="21" t="str">
        <x:v>48 kHz mono WAV masters + Wwise event plan</x:v>
      </x:c>
      <x:c r="K28" s="21" t="str">
        <x:v>No Bardin performance remains; variation avoids obvious repetition; loudness, distance curve, and interruption behavior match VT2 player VO.</x:v>
      </x:c>
      <x:c r="L28" s="21" t="str">
        <x:v>SRC-013: scripts/settings/dialogue_settings.lua; SRC-007: scripts/settings/profiles/vs_profiles.lua</x:v>
      </x:c>
      <x:c r="M28" s="21" t="str"/>
    </x:row>
    <x:row r="29" ht="46" customHeight="1">
      <x:c r="A29" s="24" t="str">
        <x:v>AUD-025</x:v>
      </x:c>
      <x:c r="B29" s="21" t="str">
        <x:v>Damage VO</x:v>
      </x:c>
      <x:c r="C29" s="21" t="str">
        <x:v>Poison/gas reaction</x:v>
      </x:c>
      <x:c r="D29" s="21" t="str">
        <x:v>Player/3D VO</x:v>
      </x:c>
      <x:c r="E29" s="21" t="str">
        <x:v>3-6 variations</x:v>
      </x:c>
      <x:c r="F29" s="27" t="str">
        <x:v>Required</x:v>
      </x:c>
      <x:c r="G29" s="27" t="str">
        <x:v>P1</x:v>
      </x:c>
      <x:c r="H29" s="27" t="str">
        <x:v>Not Started</x:v>
      </x:c>
      <x:c r="I29" s="27" t="str">
        <x:v>Audio</x:v>
      </x:c>
      <x:c r="J29" s="21" t="str">
        <x:v>48 kHz mono WAV masters + Wwise event plan</x:v>
      </x:c>
      <x:c r="K29" s="21" t="str">
        <x:v>No Bardin performance remains; variation avoids obvious repetition; loudness, distance curve, and interruption behavior match VT2 player VO.</x:v>
      </x:c>
      <x:c r="L29" s="21" t="str">
        <x:v>SRC-013: scripts/settings/dialogue_settings.lua; SRC-007: scripts/settings/profiles/vs_profiles.lua</x:v>
      </x:c>
      <x:c r="M29" s="21" t="str"/>
    </x:row>
    <x:row r="30" ht="46" customHeight="1">
      <x:c r="A30" s="24" t="str">
        <x:v>AUD-026</x:v>
      </x:c>
      <x:c r="B30" s="21" t="str">
        <x:v>Damage VO</x:v>
      </x:c>
      <x:c r="C30" s="21" t="str">
        <x:v>Fire reaction</x:v>
      </x:c>
      <x:c r="D30" s="21" t="str">
        <x:v>Player/3D VO</x:v>
      </x:c>
      <x:c r="E30" s="21" t="str">
        <x:v>3-6 variations</x:v>
      </x:c>
      <x:c r="F30" s="27" t="str">
        <x:v>Required</x:v>
      </x:c>
      <x:c r="G30" s="27" t="str">
        <x:v>P1</x:v>
      </x:c>
      <x:c r="H30" s="27" t="str">
        <x:v>Not Started</x:v>
      </x:c>
      <x:c r="I30" s="27" t="str">
        <x:v>Audio</x:v>
      </x:c>
      <x:c r="J30" s="21" t="str">
        <x:v>48 kHz mono WAV masters + Wwise event plan</x:v>
      </x:c>
      <x:c r="K30" s="21" t="str">
        <x:v>No Bardin performance remains; variation avoids obvious repetition; loudness, distance curve, and interruption behavior match VT2 player VO.</x:v>
      </x:c>
      <x:c r="L30" s="21" t="str">
        <x:v>SRC-013: scripts/settings/dialogue_settings.lua; SRC-007: scripts/settings/profiles/vs_profiles.lua</x:v>
      </x:c>
      <x:c r="M30" s="21" t="str"/>
    </x:row>
    <x:row r="31" ht="46" customHeight="1">
      <x:c r="A31" s="24" t="str">
        <x:v>AUD-027</x:v>
      </x:c>
      <x:c r="B31" s="21" t="str">
        <x:v>Damage VO</x:v>
      </x:c>
      <x:c r="C31" s="21" t="str">
        <x:v>Friendly-fire reaction</x:v>
      </x:c>
      <x:c r="D31" s="21" t="str">
        <x:v>Player/3D VO</x:v>
      </x:c>
      <x:c r="E31" s="21" t="str">
        <x:v>3-6 variations</x:v>
      </x:c>
      <x:c r="F31" s="27" t="str">
        <x:v>Required</x:v>
      </x:c>
      <x:c r="G31" s="27" t="str">
        <x:v>P1</x:v>
      </x:c>
      <x:c r="H31" s="27" t="str">
        <x:v>Not Started</x:v>
      </x:c>
      <x:c r="I31" s="27" t="str">
        <x:v>Audio</x:v>
      </x:c>
      <x:c r="J31" s="21" t="str">
        <x:v>48 kHz mono WAV masters + Wwise event plan</x:v>
      </x:c>
      <x:c r="K31" s="21" t="str">
        <x:v>No Bardin performance remains; variation avoids obvious repetition; loudness, distance curve, and interruption behavior match VT2 player VO.</x:v>
      </x:c>
      <x:c r="L31" s="21" t="str">
        <x:v>SRC-013: scripts/settings/dialogue_settings.lua; SRC-007: scripts/settings/profiles/vs_profiles.lua</x:v>
      </x:c>
      <x:c r="M31" s="21" t="str"/>
    </x:row>
    <x:row r="32" ht="46" customHeight="1">
      <x:c r="A32" s="24" t="str">
        <x:v>AUD-028</x:v>
      </x:c>
      <x:c r="B32" s="21" t="str">
        <x:v>Damage VO</x:v>
      </x:c>
      <x:c r="C32" s="21" t="str">
        <x:v>Stagger</x:v>
      </x:c>
      <x:c r="D32" s="21" t="str">
        <x:v>Player/3D VO</x:v>
      </x:c>
      <x:c r="E32" s="21" t="str">
        <x:v>3-6 variations</x:v>
      </x:c>
      <x:c r="F32" s="27" t="str">
        <x:v>Required</x:v>
      </x:c>
      <x:c r="G32" s="27" t="str">
        <x:v>P1</x:v>
      </x:c>
      <x:c r="H32" s="27" t="str">
        <x:v>Not Started</x:v>
      </x:c>
      <x:c r="I32" s="27" t="str">
        <x:v>Audio</x:v>
      </x:c>
      <x:c r="J32" s="21" t="str">
        <x:v>48 kHz mono WAV masters + Wwise event plan</x:v>
      </x:c>
      <x:c r="K32" s="21" t="str">
        <x:v>No Bardin performance remains; variation avoids obvious repetition; loudness, distance curve, and interruption behavior match VT2 player VO.</x:v>
      </x:c>
      <x:c r="L32" s="21" t="str">
        <x:v>SRC-013: scripts/settings/dialogue_settings.lua; SRC-007: scripts/settings/profiles/vs_profiles.lua</x:v>
      </x:c>
      <x:c r="M32" s="21" t="str"/>
    </x:row>
    <x:row r="33" ht="46" customHeight="1">
      <x:c r="A33" s="24" t="str">
        <x:v>AUD-029</x:v>
      </x:c>
      <x:c r="B33" s="21" t="str">
        <x:v>Damage VO</x:v>
      </x:c>
      <x:c r="C33" s="21" t="str">
        <x:v>Downed</x:v>
      </x:c>
      <x:c r="D33" s="21" t="str">
        <x:v>Player/3D VO</x:v>
      </x:c>
      <x:c r="E33" s="21" t="str">
        <x:v>3-6 variations</x:v>
      </x:c>
      <x:c r="F33" s="27" t="str">
        <x:v>Required</x:v>
      </x:c>
      <x:c r="G33" s="27" t="str">
        <x:v>P1</x:v>
      </x:c>
      <x:c r="H33" s="27" t="str">
        <x:v>Not Started</x:v>
      </x:c>
      <x:c r="I33" s="27" t="str">
        <x:v>Audio</x:v>
      </x:c>
      <x:c r="J33" s="21" t="str">
        <x:v>48 kHz mono WAV masters + Wwise event plan</x:v>
      </x:c>
      <x:c r="K33" s="21" t="str">
        <x:v>No Bardin performance remains; variation avoids obvious repetition; loudness, distance curve, and interruption behavior match VT2 player VO.</x:v>
      </x:c>
      <x:c r="L33" s="21" t="str">
        <x:v>SRC-013: scripts/settings/dialogue_settings.lua; SRC-007: scripts/settings/profiles/vs_profiles.lua</x:v>
      </x:c>
      <x:c r="M33" s="21" t="str"/>
    </x:row>
    <x:row r="34" ht="46" customHeight="1">
      <x:c r="A34" s="24" t="str">
        <x:v>AUD-030</x:v>
      </x:c>
      <x:c r="B34" s="21" t="str">
        <x:v>Damage VO</x:v>
      </x:c>
      <x:c r="C34" s="21" t="str">
        <x:v>Revived</x:v>
      </x:c>
      <x:c r="D34" s="21" t="str">
        <x:v>Player/3D VO</x:v>
      </x:c>
      <x:c r="E34" s="21" t="str">
        <x:v>3-6 variations</x:v>
      </x:c>
      <x:c r="F34" s="27" t="str">
        <x:v>Required</x:v>
      </x:c>
      <x:c r="G34" s="27" t="str">
        <x:v>P1</x:v>
      </x:c>
      <x:c r="H34" s="27" t="str">
        <x:v>Not Started</x:v>
      </x:c>
      <x:c r="I34" s="27" t="str">
        <x:v>Audio</x:v>
      </x:c>
      <x:c r="J34" s="21" t="str">
        <x:v>48 kHz mono WAV masters + Wwise event plan</x:v>
      </x:c>
      <x:c r="K34" s="21" t="str">
        <x:v>No Bardin performance remains; variation avoids obvious repetition; loudness, distance curve, and interruption behavior match VT2 player VO.</x:v>
      </x:c>
      <x:c r="L34" s="21" t="str">
        <x:v>SRC-013: scripts/settings/dialogue_settings.lua; SRC-007: scripts/settings/profiles/vs_profiles.lua</x:v>
      </x:c>
      <x:c r="M34" s="21" t="str"/>
    </x:row>
    <x:row r="35" ht="46" customHeight="1">
      <x:c r="A35" s="24" t="str">
        <x:v>AUD-031</x:v>
      </x:c>
      <x:c r="B35" s="21" t="str">
        <x:v>Damage VO</x:v>
      </x:c>
      <x:c r="C35" s="21" t="str">
        <x:v>Death</x:v>
      </x:c>
      <x:c r="D35" s="21" t="str">
        <x:v>Player/3D VO</x:v>
      </x:c>
      <x:c r="E35" s="21" t="str">
        <x:v>3-6 variations</x:v>
      </x:c>
      <x:c r="F35" s="27" t="str">
        <x:v>Required</x:v>
      </x:c>
      <x:c r="G35" s="27" t="str">
        <x:v>P1</x:v>
      </x:c>
      <x:c r="H35" s="27" t="str">
        <x:v>Not Started</x:v>
      </x:c>
      <x:c r="I35" s="27" t="str">
        <x:v>Audio</x:v>
      </x:c>
      <x:c r="J35" s="21" t="str">
        <x:v>48 kHz mono WAV masters + Wwise event plan</x:v>
      </x:c>
      <x:c r="K35" s="21" t="str">
        <x:v>No Bardin performance remains; variation avoids obvious repetition; loudness, distance curve, and interruption behavior match VT2 player VO.</x:v>
      </x:c>
      <x:c r="L35" s="21" t="str">
        <x:v>SRC-013: scripts/settings/dialogue_settings.lua; SRC-007: scripts/settings/profiles/vs_profiles.lua</x:v>
      </x:c>
      <x:c r="M35" s="21" t="str"/>
    </x:row>
    <x:row r="36" ht="46" customHeight="1">
      <x:c r="A36" s="24" t="str">
        <x:v>AUD-032</x:v>
      </x:c>
      <x:c r="B36" s="21" t="str">
        <x:v>Disabled VO</x:v>
      </x:c>
      <x:c r="C36" s="21" t="str">
        <x:v>Packmaster grab</x:v>
      </x:c>
      <x:c r="D36" s="21" t="str">
        <x:v>Player/3D VO</x:v>
      </x:c>
      <x:c r="E36" s="21" t="str">
        <x:v>3-6 variations</x:v>
      </x:c>
      <x:c r="F36" s="27" t="str">
        <x:v>Required</x:v>
      </x:c>
      <x:c r="G36" s="27" t="str">
        <x:v>P2</x:v>
      </x:c>
      <x:c r="H36" s="27" t="str">
        <x:v>Not Started</x:v>
      </x:c>
      <x:c r="I36" s="27" t="str">
        <x:v>Audio</x:v>
      </x:c>
      <x:c r="J36" s="21" t="str">
        <x:v>48 kHz mono WAV masters + Wwise event plan</x:v>
      </x:c>
      <x:c r="K36" s="21" t="str">
        <x:v>No Bardin performance remains; variation avoids obvious repetition; loudness, distance curve, and interruption behavior match VT2 player VO.</x:v>
      </x:c>
      <x:c r="L36" s="21" t="str">
        <x:v>SRC-013: scripts/settings/dialogue_settings.lua; SRC-007: scripts/settings/profiles/vs_profiles.lua</x:v>
      </x:c>
      <x:c r="M36" s="21" t="str"/>
    </x:row>
    <x:row r="37" ht="46" customHeight="1">
      <x:c r="A37" s="24" t="str">
        <x:v>AUD-033</x:v>
      </x:c>
      <x:c r="B37" s="21" t="str">
        <x:v>Disabled VO</x:v>
      </x:c>
      <x:c r="C37" s="21" t="str">
        <x:v>Gutter Runner pounce</x:v>
      </x:c>
      <x:c r="D37" s="21" t="str">
        <x:v>Player/3D VO</x:v>
      </x:c>
      <x:c r="E37" s="21" t="str">
        <x:v>3-6 variations</x:v>
      </x:c>
      <x:c r="F37" s="27" t="str">
        <x:v>Required</x:v>
      </x:c>
      <x:c r="G37" s="27" t="str">
        <x:v>P2</x:v>
      </x:c>
      <x:c r="H37" s="27" t="str">
        <x:v>Not Started</x:v>
      </x:c>
      <x:c r="I37" s="27" t="str">
        <x:v>Audio</x:v>
      </x:c>
      <x:c r="J37" s="21" t="str">
        <x:v>48 kHz mono WAV masters + Wwise event plan</x:v>
      </x:c>
      <x:c r="K37" s="21" t="str">
        <x:v>No Bardin performance remains; variation avoids obvious repetition; loudness, distance curve, and interruption behavior match VT2 player VO.</x:v>
      </x:c>
      <x:c r="L37" s="21" t="str">
        <x:v>SRC-013: scripts/settings/dialogue_settings.lua; SRC-007: scripts/settings/profiles/vs_profiles.lua</x:v>
      </x:c>
      <x:c r="M37" s="21" t="str"/>
    </x:row>
    <x:row r="38" ht="46" customHeight="1">
      <x:c r="A38" s="24" t="str">
        <x:v>AUD-034</x:v>
      </x:c>
      <x:c r="B38" s="21" t="str">
        <x:v>Disabled VO</x:v>
      </x:c>
      <x:c r="C38" s="21" t="str">
        <x:v>Chaos Spawn grab</x:v>
      </x:c>
      <x:c r="D38" s="21" t="str">
        <x:v>Player/3D VO</x:v>
      </x:c>
      <x:c r="E38" s="21" t="str">
        <x:v>3-6 variations</x:v>
      </x:c>
      <x:c r="F38" s="27" t="str">
        <x:v>Required</x:v>
      </x:c>
      <x:c r="G38" s="27" t="str">
        <x:v>P2</x:v>
      </x:c>
      <x:c r="H38" s="27" t="str">
        <x:v>Not Started</x:v>
      </x:c>
      <x:c r="I38" s="27" t="str">
        <x:v>Audio</x:v>
      </x:c>
      <x:c r="J38" s="21" t="str">
        <x:v>48 kHz mono WAV masters + Wwise event plan</x:v>
      </x:c>
      <x:c r="K38" s="21" t="str">
        <x:v>No Bardin performance remains; variation avoids obvious repetition; loudness, distance curve, and interruption behavior match VT2 player VO.</x:v>
      </x:c>
      <x:c r="L38" s="21" t="str">
        <x:v>SRC-013: scripts/settings/dialogue_settings.lua; SRC-007: scripts/settings/profiles/vs_profiles.lua</x:v>
      </x:c>
      <x:c r="M38" s="21" t="str"/>
    </x:row>
    <x:row r="39" ht="46" customHeight="1">
      <x:c r="A39" s="24" t="str">
        <x:v>AUD-035</x:v>
      </x:c>
      <x:c r="B39" s="21" t="str">
        <x:v>Disabled VO</x:v>
      </x:c>
      <x:c r="C39" s="21" t="str">
        <x:v>Corruptor grab</x:v>
      </x:c>
      <x:c r="D39" s="21" t="str">
        <x:v>Player/3D VO</x:v>
      </x:c>
      <x:c r="E39" s="21" t="str">
        <x:v>3-6 variations</x:v>
      </x:c>
      <x:c r="F39" s="27" t="str">
        <x:v>Required</x:v>
      </x:c>
      <x:c r="G39" s="27" t="str">
        <x:v>P2</x:v>
      </x:c>
      <x:c r="H39" s="27" t="str">
        <x:v>Not Started</x:v>
      </x:c>
      <x:c r="I39" s="27" t="str">
        <x:v>Audio</x:v>
      </x:c>
      <x:c r="J39" s="21" t="str">
        <x:v>48 kHz mono WAV masters + Wwise event plan</x:v>
      </x:c>
      <x:c r="K39" s="21" t="str">
        <x:v>No Bardin performance remains; variation avoids obvious repetition; loudness, distance curve, and interruption behavior match VT2 player VO.</x:v>
      </x:c>
      <x:c r="L39" s="21" t="str">
        <x:v>SRC-013: scripts/settings/dialogue_settings.lua; SRC-007: scripts/settings/profiles/vs_profiles.lua</x:v>
      </x:c>
      <x:c r="M39" s="21" t="str"/>
    </x:row>
    <x:row r="40" ht="46" customHeight="1">
      <x:c r="A40" s="24" t="str">
        <x:v>AUD-036</x:v>
      </x:c>
      <x:c r="B40" s="21" t="str">
        <x:v>Disabled VO</x:v>
      </x:c>
      <x:c r="C40" s="21" t="str">
        <x:v>Tentacle grab</x:v>
      </x:c>
      <x:c r="D40" s="21" t="str">
        <x:v>Player/3D VO</x:v>
      </x:c>
      <x:c r="E40" s="21" t="str">
        <x:v>3-6 variations</x:v>
      </x:c>
      <x:c r="F40" s="27" t="str">
        <x:v>Required</x:v>
      </x:c>
      <x:c r="G40" s="27" t="str">
        <x:v>P2</x:v>
      </x:c>
      <x:c r="H40" s="27" t="str">
        <x:v>Not Started</x:v>
      </x:c>
      <x:c r="I40" s="27" t="str">
        <x:v>Audio</x:v>
      </x:c>
      <x:c r="J40" s="21" t="str">
        <x:v>48 kHz mono WAV masters + Wwise event plan</x:v>
      </x:c>
      <x:c r="K40" s="21" t="str">
        <x:v>No Bardin performance remains; variation avoids obvious repetition; loudness, distance curve, and interruption behavior match VT2 player VO.</x:v>
      </x:c>
      <x:c r="L40" s="21" t="str">
        <x:v>SRC-013: scripts/settings/dialogue_settings.lua; SRC-007: scripts/settings/profiles/vs_profiles.lua</x:v>
      </x:c>
      <x:c r="M40" s="21" t="str"/>
    </x:row>
    <x:row r="41" ht="46" customHeight="1">
      <x:c r="A41" s="24" t="str">
        <x:v>AUD-037</x:v>
      </x:c>
      <x:c r="B41" s="21" t="str">
        <x:v>Disabled VO</x:v>
      </x:c>
      <x:c r="C41" s="21" t="str">
        <x:v>Vortex</x:v>
      </x:c>
      <x:c r="D41" s="21" t="str">
        <x:v>Player/3D VO</x:v>
      </x:c>
      <x:c r="E41" s="21" t="str">
        <x:v>3-6 variations</x:v>
      </x:c>
      <x:c r="F41" s="27" t="str">
        <x:v>Required</x:v>
      </x:c>
      <x:c r="G41" s="27" t="str">
        <x:v>P2</x:v>
      </x:c>
      <x:c r="H41" s="27" t="str">
        <x:v>Not Started</x:v>
      </x:c>
      <x:c r="I41" s="27" t="str">
        <x:v>Audio</x:v>
      </x:c>
      <x:c r="J41" s="21" t="str">
        <x:v>48 kHz mono WAV masters + Wwise event plan</x:v>
      </x:c>
      <x:c r="K41" s="21" t="str">
        <x:v>No Bardin performance remains; variation avoids obvious repetition; loudness, distance curve, and interruption behavior match VT2 player VO.</x:v>
      </x:c>
      <x:c r="L41" s="21" t="str">
        <x:v>SRC-013: scripts/settings/dialogue_settings.lua; SRC-007: scripts/settings/profiles/vs_profiles.lua</x:v>
      </x:c>
      <x:c r="M41" s="21" t="str"/>
    </x:row>
    <x:row r="42" ht="46" customHeight="1">
      <x:c r="A42" s="24" t="str">
        <x:v>AUD-038</x:v>
      </x:c>
      <x:c r="B42" s="21" t="str">
        <x:v>Disabled VO</x:v>
      </x:c>
      <x:c r="C42" s="21" t="str">
        <x:v>Hanging/ledge distress</x:v>
      </x:c>
      <x:c r="D42" s="21" t="str">
        <x:v>Player/3D VO</x:v>
      </x:c>
      <x:c r="E42" s="21" t="str">
        <x:v>3-6 variations</x:v>
      </x:c>
      <x:c r="F42" s="27" t="str">
        <x:v>Required</x:v>
      </x:c>
      <x:c r="G42" s="27" t="str">
        <x:v>P2</x:v>
      </x:c>
      <x:c r="H42" s="27" t="str">
        <x:v>Not Started</x:v>
      </x:c>
      <x:c r="I42" s="27" t="str">
        <x:v>Audio</x:v>
      </x:c>
      <x:c r="J42" s="21" t="str">
        <x:v>48 kHz mono WAV masters + Wwise event plan</x:v>
      </x:c>
      <x:c r="K42" s="21" t="str">
        <x:v>No Bardin performance remains; variation avoids obvious repetition; loudness, distance curve, and interruption behavior match VT2 player VO.</x:v>
      </x:c>
      <x:c r="L42" s="21" t="str">
        <x:v>SRC-013: scripts/settings/dialogue_settings.lua; SRC-007: scripts/settings/profiles/vs_profiles.lua</x:v>
      </x:c>
      <x:c r="M42" s="21" t="str"/>
    </x:row>
    <x:row r="43" ht="46" customHeight="1">
      <x:c r="A43" s="24" t="str">
        <x:v>AUD-039</x:v>
      </x:c>
      <x:c r="B43" s="21" t="str">
        <x:v>Career skill VO</x:v>
      </x:c>
      <x:c r="C43" s="21" t="str">
        <x:v>Bag ready</x:v>
      </x:c>
      <x:c r="D43" s="21" t="str">
        <x:v>Player/3D VO</x:v>
      </x:c>
      <x:c r="E43" s="21" t="str">
        <x:v>3-6 variations</x:v>
      </x:c>
      <x:c r="F43" s="27" t="str">
        <x:v>Required</x:v>
      </x:c>
      <x:c r="G43" s="27" t="str">
        <x:v>P1</x:v>
      </x:c>
      <x:c r="H43" s="27" t="str">
        <x:v>Not Started</x:v>
      </x:c>
      <x:c r="I43" s="27" t="str">
        <x:v>Audio</x:v>
      </x:c>
      <x:c r="J43" s="21" t="str">
        <x:v>48 kHz mono WAV masters + Wwise event plan</x:v>
      </x:c>
      <x:c r="K43" s="21" t="str">
        <x:v>No Bardin performance remains; variation avoids obvious repetition; loudness, distance curve, and interruption behavior match VT2 player VO.</x:v>
      </x:c>
      <x:c r="L43" s="21" t="str">
        <x:v>SRC-013: scripts/settings/dialogue_settings.lua; SRC-007: scripts/settings/profiles/vs_profiles.lua</x:v>
      </x:c>
      <x:c r="M43" s="21" t="str"/>
    </x:row>
    <x:row r="44" ht="46" customHeight="1">
      <x:c r="A44" s="24" t="str">
        <x:v>AUD-040</x:v>
      </x:c>
      <x:c r="B44" s="21" t="str">
        <x:v>Career skill VO</x:v>
      </x:c>
      <x:c r="C44" s="21" t="str">
        <x:v>Bag deploy</x:v>
      </x:c>
      <x:c r="D44" s="21" t="str">
        <x:v>Player/3D VO</x:v>
      </x:c>
      <x:c r="E44" s="21" t="str">
        <x:v>3-6 variations</x:v>
      </x:c>
      <x:c r="F44" s="27" t="str">
        <x:v>Required</x:v>
      </x:c>
      <x:c r="G44" s="27" t="str">
        <x:v>P1</x:v>
      </x:c>
      <x:c r="H44" s="27" t="str">
        <x:v>Not Started</x:v>
      </x:c>
      <x:c r="I44" s="27" t="str">
        <x:v>Audio</x:v>
      </x:c>
      <x:c r="J44" s="21" t="str">
        <x:v>48 kHz mono WAV masters + Wwise event plan</x:v>
      </x:c>
      <x:c r="K44" s="21" t="str">
        <x:v>No Bardin performance remains; variation avoids obvious repetition; loudness, distance curve, and interruption behavior match VT2 player VO.</x:v>
      </x:c>
      <x:c r="L44" s="21" t="str">
        <x:v>SRC-013: scripts/settings/dialogue_settings.lua; SRC-007: scripts/settings/profiles/vs_profiles.lua</x:v>
      </x:c>
      <x:c r="M44" s="21" t="str"/>
    </x:row>
    <x:row r="45" ht="46" customHeight="1">
      <x:c r="A45" s="24" t="str">
        <x:v>AUD-041</x:v>
      </x:c>
      <x:c r="B45" s="21" t="str">
        <x:v>Career skill VO</x:v>
      </x:c>
      <x:c r="C45" s="21" t="str">
        <x:v>Invite ally to use bag</x:v>
      </x:c>
      <x:c r="D45" s="21" t="str">
        <x:v>Player/3D VO</x:v>
      </x:c>
      <x:c r="E45" s="21" t="str">
        <x:v>3-6 variations</x:v>
      </x:c>
      <x:c r="F45" s="27" t="str">
        <x:v>Required</x:v>
      </x:c>
      <x:c r="G45" s="27" t="str">
        <x:v>P1</x:v>
      </x:c>
      <x:c r="H45" s="27" t="str">
        <x:v>Not Started</x:v>
      </x:c>
      <x:c r="I45" s="27" t="str">
        <x:v>Audio</x:v>
      </x:c>
      <x:c r="J45" s="21" t="str">
        <x:v>48 kHz mono WAV masters + Wwise event plan</x:v>
      </x:c>
      <x:c r="K45" s="21" t="str">
        <x:v>No Bardin performance remains; variation avoids obvious repetition; loudness, distance curve, and interruption behavior match VT2 player VO.</x:v>
      </x:c>
      <x:c r="L45" s="21" t="str">
        <x:v>SRC-013: scripts/settings/dialogue_settings.lua; SRC-007: scripts/settings/profiles/vs_profiles.lua</x:v>
      </x:c>
      <x:c r="M45" s="21" t="str"/>
    </x:row>
    <x:row r="46" ht="46" customHeight="1">
      <x:c r="A46" s="24" t="str">
        <x:v>AUD-042</x:v>
      </x:c>
      <x:c r="B46" s="21" t="str">
        <x:v>Career skill VO</x:v>
      </x:c>
      <x:c r="C46" s="21" t="str">
        <x:v>Potion enchanted</x:v>
      </x:c>
      <x:c r="D46" s="21" t="str">
        <x:v>Player/3D VO</x:v>
      </x:c>
      <x:c r="E46" s="21" t="str">
        <x:v>3-6 variations</x:v>
      </x:c>
      <x:c r="F46" s="27" t="str">
        <x:v>Required</x:v>
      </x:c>
      <x:c r="G46" s="27" t="str">
        <x:v>P1</x:v>
      </x:c>
      <x:c r="H46" s="27" t="str">
        <x:v>Not Started</x:v>
      </x:c>
      <x:c r="I46" s="27" t="str">
        <x:v>Audio</x:v>
      </x:c>
      <x:c r="J46" s="21" t="str">
        <x:v>48 kHz mono WAV masters + Wwise event plan</x:v>
      </x:c>
      <x:c r="K46" s="21" t="str">
        <x:v>No Bardin performance remains; variation avoids obvious repetition; loudness, distance curve, and interruption behavior match VT2 player VO.</x:v>
      </x:c>
      <x:c r="L46" s="21" t="str">
        <x:v>SRC-013: scripts/settings/dialogue_settings.lua; SRC-007: scripts/settings/profiles/vs_profiles.lua</x:v>
      </x:c>
      <x:c r="M46" s="21" t="str"/>
    </x:row>
    <x:row r="47" ht="46" customHeight="1">
      <x:c r="A47" s="24" t="str">
        <x:v>AUD-043</x:v>
      </x:c>
      <x:c r="B47" s="21" t="str">
        <x:v>Career skill VO</x:v>
      </x:c>
      <x:c r="C47" s="21" t="str">
        <x:v>Bomb upgraded</x:v>
      </x:c>
      <x:c r="D47" s="21" t="str">
        <x:v>Player/3D VO</x:v>
      </x:c>
      <x:c r="E47" s="21" t="str">
        <x:v>3-6 variations</x:v>
      </x:c>
      <x:c r="F47" s="27" t="str">
        <x:v>Required</x:v>
      </x:c>
      <x:c r="G47" s="27" t="str">
        <x:v>P1</x:v>
      </x:c>
      <x:c r="H47" s="27" t="str">
        <x:v>Not Started</x:v>
      </x:c>
      <x:c r="I47" s="27" t="str">
        <x:v>Audio</x:v>
      </x:c>
      <x:c r="J47" s="21" t="str">
        <x:v>48 kHz mono WAV masters + Wwise event plan</x:v>
      </x:c>
      <x:c r="K47" s="21" t="str">
        <x:v>No Bardin performance remains; variation avoids obvious repetition; loudness, distance curve, and interruption behavior match VT2 player VO.</x:v>
      </x:c>
      <x:c r="L47" s="21" t="str">
        <x:v>SRC-013: scripts/settings/dialogue_settings.lua; SRC-007: scripts/settings/profiles/vs_profiles.lua</x:v>
      </x:c>
      <x:c r="M47" s="21" t="str"/>
    </x:row>
    <x:row r="48" ht="46" customHeight="1">
      <x:c r="A48" s="24" t="str">
        <x:v>AUD-044</x:v>
      </x:c>
      <x:c r="B48" s="21" t="str">
        <x:v>Career skill VO</x:v>
      </x:c>
      <x:c r="C48" s="21" t="str">
        <x:v>Gas trap crafted</x:v>
      </x:c>
      <x:c r="D48" s="21" t="str">
        <x:v>Player/3D VO</x:v>
      </x:c>
      <x:c r="E48" s="21" t="str">
        <x:v>3-6 variations</x:v>
      </x:c>
      <x:c r="F48" s="27" t="str">
        <x:v>Required</x:v>
      </x:c>
      <x:c r="G48" s="27" t="str">
        <x:v>P1</x:v>
      </x:c>
      <x:c r="H48" s="27" t="str">
        <x:v>Not Started</x:v>
      </x:c>
      <x:c r="I48" s="27" t="str">
        <x:v>Audio</x:v>
      </x:c>
      <x:c r="J48" s="21" t="str">
        <x:v>48 kHz mono WAV masters + Wwise event plan</x:v>
      </x:c>
      <x:c r="K48" s="21" t="str">
        <x:v>No Bardin performance remains; variation avoids obvious repetition; loudness, distance curve, and interruption behavior match VT2 player VO.</x:v>
      </x:c>
      <x:c r="L48" s="21" t="str">
        <x:v>SRC-013: scripts/settings/dialogue_settings.lua; SRC-007: scripts/settings/profiles/vs_profiles.lua</x:v>
      </x:c>
      <x:c r="M48" s="21" t="str"/>
    </x:row>
    <x:row r="49" ht="46" customHeight="1">
      <x:c r="A49" s="24" t="str">
        <x:v>AUD-045</x:v>
      </x:c>
      <x:c r="B49" s="21" t="str">
        <x:v>Career skill VO</x:v>
      </x:c>
      <x:c r="C49" s="21" t="str">
        <x:v>Craft failed</x:v>
      </x:c>
      <x:c r="D49" s="21" t="str">
        <x:v>Player/3D VO</x:v>
      </x:c>
      <x:c r="E49" s="21" t="str">
        <x:v>3-6 variations</x:v>
      </x:c>
      <x:c r="F49" s="27" t="str">
        <x:v>Required</x:v>
      </x:c>
      <x:c r="G49" s="27" t="str">
        <x:v>P1</x:v>
      </x:c>
      <x:c r="H49" s="27" t="str">
        <x:v>Not Started</x:v>
      </x:c>
      <x:c r="I49" s="27" t="str">
        <x:v>Audio</x:v>
      </x:c>
      <x:c r="J49" s="21" t="str">
        <x:v>48 kHz mono WAV masters + Wwise event plan</x:v>
      </x:c>
      <x:c r="K49" s="21" t="str">
        <x:v>No Bardin performance remains; variation avoids obvious repetition; loudness, distance curve, and interruption behavior match VT2 player VO.</x:v>
      </x:c>
      <x:c r="L49" s="21" t="str">
        <x:v>SRC-013: scripts/settings/dialogue_settings.lua; SRC-007: scripts/settings/profiles/vs_profiles.lua</x:v>
      </x:c>
      <x:c r="M49" s="21" t="str"/>
    </x:row>
    <x:row r="50" ht="46" customHeight="1">
      <x:c r="A50" s="24" t="str">
        <x:v>AUD-046</x:v>
      </x:c>
      <x:c r="B50" s="21" t="str">
        <x:v>Career skill VO</x:v>
      </x:c>
      <x:c r="C50" s="21" t="str">
        <x:v>Bag recovered</x:v>
      </x:c>
      <x:c r="D50" s="21" t="str">
        <x:v>Player/3D VO</x:v>
      </x:c>
      <x:c r="E50" s="21" t="str">
        <x:v>3-6 variations</x:v>
      </x:c>
      <x:c r="F50" s="27" t="str">
        <x:v>Required</x:v>
      </x:c>
      <x:c r="G50" s="27" t="str">
        <x:v>P1</x:v>
      </x:c>
      <x:c r="H50" s="27" t="str">
        <x:v>Not Started</x:v>
      </x:c>
      <x:c r="I50" s="27" t="str">
        <x:v>Audio</x:v>
      </x:c>
      <x:c r="J50" s="21" t="str">
        <x:v>48 kHz mono WAV masters + Wwise event plan</x:v>
      </x:c>
      <x:c r="K50" s="21" t="str">
        <x:v>No Bardin performance remains; variation avoids obvious repetition; loudness, distance curve, and interruption behavior match VT2 player VO.</x:v>
      </x:c>
      <x:c r="L50" s="21" t="str">
        <x:v>SRC-013: scripts/settings/dialogue_settings.lua; SRC-007: scripts/settings/profiles/vs_profiles.lua</x:v>
      </x:c>
      <x:c r="M50" s="21" t="str"/>
    </x:row>
    <x:row r="51" ht="46" customHeight="1">
      <x:c r="A51" s="24" t="str">
        <x:v>AUD-047</x:v>
      </x:c>
      <x:c r="B51" s="21" t="str">
        <x:v>Career skill VO</x:v>
      </x:c>
      <x:c r="C51" s="21" t="str">
        <x:v>Ability interrupted</x:v>
      </x:c>
      <x:c r="D51" s="21" t="str">
        <x:v>Player/3D VO</x:v>
      </x:c>
      <x:c r="E51" s="21" t="str">
        <x:v>3-6 variations</x:v>
      </x:c>
      <x:c r="F51" s="27" t="str">
        <x:v>Required</x:v>
      </x:c>
      <x:c r="G51" s="27" t="str">
        <x:v>P1</x:v>
      </x:c>
      <x:c r="H51" s="27" t="str">
        <x:v>Not Started</x:v>
      </x:c>
      <x:c r="I51" s="27" t="str">
        <x:v>Audio</x:v>
      </x:c>
      <x:c r="J51" s="21" t="str">
        <x:v>48 kHz mono WAV masters + Wwise event plan</x:v>
      </x:c>
      <x:c r="K51" s="21" t="str">
        <x:v>No Bardin performance remains; variation avoids obvious repetition; loudness, distance curve, and interruption behavior match VT2 player VO.</x:v>
      </x:c>
      <x:c r="L51" s="21" t="str">
        <x:v>SRC-013: scripts/settings/dialogue_settings.lua; SRC-007: scripts/settings/profiles/vs_profiles.lua</x:v>
      </x:c>
      <x:c r="M51" s="21" t="str"/>
    </x:row>
    <x:row r="52" ht="46" customHeight="1">
      <x:c r="A52" s="24" t="str">
        <x:v>AUD-048</x:v>
      </x:c>
      <x:c r="B52" s="21" t="str">
        <x:v>Quest VO</x:v>
      </x:c>
      <x:c r="C52" s="21" t="str">
        <x:v>Quest assigned</x:v>
      </x:c>
      <x:c r="D52" s="21" t="str">
        <x:v>Player/3D VO</x:v>
      </x:c>
      <x:c r="E52" s="21" t="str">
        <x:v>3-6 variations</x:v>
      </x:c>
      <x:c r="F52" s="27" t="str">
        <x:v>Required</x:v>
      </x:c>
      <x:c r="G52" s="27" t="str">
        <x:v>P2</x:v>
      </x:c>
      <x:c r="H52" s="27" t="str">
        <x:v>Not Started</x:v>
      </x:c>
      <x:c r="I52" s="27" t="str">
        <x:v>Audio</x:v>
      </x:c>
      <x:c r="J52" s="21" t="str">
        <x:v>48 kHz mono WAV masters + Wwise event plan</x:v>
      </x:c>
      <x:c r="K52" s="21" t="str">
        <x:v>No Bardin performance remains; variation avoids obvious repetition; loudness, distance curve, and interruption behavior match VT2 player VO.</x:v>
      </x:c>
      <x:c r="L52" s="21" t="str">
        <x:v>SRC-013: scripts/settings/dialogue_settings.lua; SRC-007: scripts/settings/profiles/vs_profiles.lua</x:v>
      </x:c>
      <x:c r="M52" s="21" t="str"/>
    </x:row>
    <x:row r="53" ht="46" customHeight="1">
      <x:c r="A53" s="24" t="str">
        <x:v>AUD-049</x:v>
      </x:c>
      <x:c r="B53" s="21" t="str">
        <x:v>Quest VO</x:v>
      </x:c>
      <x:c r="C53" s="21" t="str">
        <x:v>Quest progress</x:v>
      </x:c>
      <x:c r="D53" s="21" t="str">
        <x:v>Player/3D VO</x:v>
      </x:c>
      <x:c r="E53" s="21" t="str">
        <x:v>3-6 variations</x:v>
      </x:c>
      <x:c r="F53" s="27" t="str">
        <x:v>Required</x:v>
      </x:c>
      <x:c r="G53" s="27" t="str">
        <x:v>P2</x:v>
      </x:c>
      <x:c r="H53" s="27" t="str">
        <x:v>Not Started</x:v>
      </x:c>
      <x:c r="I53" s="27" t="str">
        <x:v>Audio</x:v>
      </x:c>
      <x:c r="J53" s="21" t="str">
        <x:v>48 kHz mono WAV masters + Wwise event plan</x:v>
      </x:c>
      <x:c r="K53" s="21" t="str">
        <x:v>No Bardin performance remains; variation avoids obvious repetition; loudness, distance curve, and interruption behavior match VT2 player VO.</x:v>
      </x:c>
      <x:c r="L53" s="21" t="str">
        <x:v>SRC-013: scripts/settings/dialogue_settings.lua; SRC-007: scripts/settings/profiles/vs_profiles.lua</x:v>
      </x:c>
      <x:c r="M53" s="21" t="str"/>
    </x:row>
    <x:row r="54" ht="46" customHeight="1">
      <x:c r="A54" s="24" t="str">
        <x:v>AUD-050</x:v>
      </x:c>
      <x:c r="B54" s="21" t="str">
        <x:v>Quest VO</x:v>
      </x:c>
      <x:c r="C54" s="21" t="str">
        <x:v>Quest complete</x:v>
      </x:c>
      <x:c r="D54" s="21" t="str">
        <x:v>Player/3D VO</x:v>
      </x:c>
      <x:c r="E54" s="21" t="str">
        <x:v>3-6 variations</x:v>
      </x:c>
      <x:c r="F54" s="27" t="str">
        <x:v>Required</x:v>
      </x:c>
      <x:c r="G54" s="27" t="str">
        <x:v>P2</x:v>
      </x:c>
      <x:c r="H54" s="27" t="str">
        <x:v>Not Started</x:v>
      </x:c>
      <x:c r="I54" s="27" t="str">
        <x:v>Audio</x:v>
      </x:c>
      <x:c r="J54" s="21" t="str">
        <x:v>48 kHz mono WAV masters + Wwise event plan</x:v>
      </x:c>
      <x:c r="K54" s="21" t="str">
        <x:v>No Bardin performance remains; variation avoids obvious repetition; loudness, distance curve, and interruption behavior match VT2 player VO.</x:v>
      </x:c>
      <x:c r="L54" s="21" t="str">
        <x:v>SRC-013: scripts/settings/dialogue_settings.lua; SRC-007: scripts/settings/profiles/vs_profiles.lua</x:v>
      </x:c>
      <x:c r="M54" s="21" t="str"/>
    </x:row>
    <x:row r="55" ht="46" customHeight="1">
      <x:c r="A55" s="24" t="str">
        <x:v>AUD-051</x:v>
      </x:c>
      <x:c r="B55" s="21" t="str">
        <x:v>Quest VO</x:v>
      </x:c>
      <x:c r="C55" s="21" t="str">
        <x:v>All quests complete</x:v>
      </x:c>
      <x:c r="D55" s="21" t="str">
        <x:v>Player/3D VO</x:v>
      </x:c>
      <x:c r="E55" s="21" t="str">
        <x:v>3-6 variations</x:v>
      </x:c>
      <x:c r="F55" s="27" t="str">
        <x:v>Required</x:v>
      </x:c>
      <x:c r="G55" s="27" t="str">
        <x:v>P2</x:v>
      </x:c>
      <x:c r="H55" s="27" t="str">
        <x:v>Not Started</x:v>
      </x:c>
      <x:c r="I55" s="27" t="str">
        <x:v>Audio</x:v>
      </x:c>
      <x:c r="J55" s="21" t="str">
        <x:v>48 kHz mono WAV masters + Wwise event plan</x:v>
      </x:c>
      <x:c r="K55" s="21" t="str">
        <x:v>No Bardin performance remains; variation avoids obvious repetition; loudness, distance curve, and interruption behavior match VT2 player VO.</x:v>
      </x:c>
      <x:c r="L55" s="21" t="str">
        <x:v>SRC-013: scripts/settings/dialogue_settings.lua; SRC-007: scripts/settings/profiles/vs_profiles.lua</x:v>
      </x:c>
      <x:c r="M55" s="21" t="str"/>
    </x:row>
    <x:row r="56" ht="46" customHeight="1">
      <x:c r="A56" s="24" t="str">
        <x:v>AUD-052</x:v>
      </x:c>
      <x:c r="B56" s="21" t="str">
        <x:v>Quest VO</x:v>
      </x:c>
      <x:c r="C56" s="21" t="str">
        <x:v>Quest failed</x:v>
      </x:c>
      <x:c r="D56" s="21" t="str">
        <x:v>Player/3D VO</x:v>
      </x:c>
      <x:c r="E56" s="21" t="str">
        <x:v>3-6 variations</x:v>
      </x:c>
      <x:c r="F56" s="27" t="str">
        <x:v>Required</x:v>
      </x:c>
      <x:c r="G56" s="27" t="str">
        <x:v>P2</x:v>
      </x:c>
      <x:c r="H56" s="27" t="str">
        <x:v>Not Started</x:v>
      </x:c>
      <x:c r="I56" s="27" t="str">
        <x:v>Audio</x:v>
      </x:c>
      <x:c r="J56" s="21" t="str">
        <x:v>48 kHz mono WAV masters + Wwise event plan</x:v>
      </x:c>
      <x:c r="K56" s="21" t="str">
        <x:v>No Bardin performance remains; variation avoids obvious repetition; loudness, distance curve, and interruption behavior match VT2 player VO.</x:v>
      </x:c>
      <x:c r="L56" s="21" t="str">
        <x:v>SRC-013: scripts/settings/dialogue_settings.lua; SRC-007: scripts/settings/profiles/vs_profiles.lua</x:v>
      </x:c>
      <x:c r="M56" s="21" t="str"/>
    </x:row>
    <x:row r="57" ht="46" customHeight="1">
      <x:c r="A57" s="24" t="str">
        <x:v>AUD-053</x:v>
      </x:c>
      <x:c r="B57" s="21" t="str">
        <x:v>Team VO</x:v>
      </x:c>
      <x:c r="C57" s="21" t="str">
        <x:v>Enemy spotted</x:v>
      </x:c>
      <x:c r="D57" s="21" t="str">
        <x:v>Player/3D VO</x:v>
      </x:c>
      <x:c r="E57" s="21" t="str">
        <x:v>3-6 variations</x:v>
      </x:c>
      <x:c r="F57" s="27" t="str">
        <x:v>Conditional</x:v>
      </x:c>
      <x:c r="G57" s="27" t="str">
        <x:v>P2</x:v>
      </x:c>
      <x:c r="H57" s="27" t="str">
        <x:v>Not Started</x:v>
      </x:c>
      <x:c r="I57" s="27" t="str">
        <x:v>Audio</x:v>
      </x:c>
      <x:c r="J57" s="21" t="str">
        <x:v>48 kHz mono WAV masters + Wwise event plan</x:v>
      </x:c>
      <x:c r="K57" s="21" t="str">
        <x:v>No Bardin performance remains; variation avoids obvious repetition; loudness, distance curve, and interruption behavior match VT2 player VO.</x:v>
      </x:c>
      <x:c r="L57" s="21" t="str">
        <x:v>SRC-013: scripts/settings/dialogue_settings.lua; SRC-007: scripts/settings/profiles/vs_profiles.lua</x:v>
      </x:c>
      <x:c r="M57" s="21" t="str"/>
    </x:row>
    <x:row r="58" ht="46" customHeight="1">
      <x:c r="A58" s="24" t="str">
        <x:v>AUD-054</x:v>
      </x:c>
      <x:c r="B58" s="21" t="str">
        <x:v>Team VO</x:v>
      </x:c>
      <x:c r="C58" s="21" t="str">
        <x:v>Special spotted</x:v>
      </x:c>
      <x:c r="D58" s="21" t="str">
        <x:v>Player/3D VO</x:v>
      </x:c>
      <x:c r="E58" s="21" t="str">
        <x:v>3-6 variations</x:v>
      </x:c>
      <x:c r="F58" s="27" t="str">
        <x:v>Conditional</x:v>
      </x:c>
      <x:c r="G58" s="27" t="str">
        <x:v>P2</x:v>
      </x:c>
      <x:c r="H58" s="27" t="str">
        <x:v>Not Started</x:v>
      </x:c>
      <x:c r="I58" s="27" t="str">
        <x:v>Audio</x:v>
      </x:c>
      <x:c r="J58" s="21" t="str">
        <x:v>48 kHz mono WAV masters + Wwise event plan</x:v>
      </x:c>
      <x:c r="K58" s="21" t="str">
        <x:v>No Bardin performance remains; variation avoids obvious repetition; loudness, distance curve, and interruption behavior match VT2 player VO.</x:v>
      </x:c>
      <x:c r="L58" s="21" t="str">
        <x:v>SRC-013: scripts/settings/dialogue_settings.lua; SRC-007: scripts/settings/profiles/vs_profiles.lua</x:v>
      </x:c>
      <x:c r="M58" s="21" t="str"/>
    </x:row>
    <x:row r="59" ht="46" customHeight="1">
      <x:c r="A59" s="24" t="str">
        <x:v>AUD-055</x:v>
      </x:c>
      <x:c r="B59" s="21" t="str">
        <x:v>Team VO</x:v>
      </x:c>
      <x:c r="C59" s="21" t="str">
        <x:v>Elite spotted</x:v>
      </x:c>
      <x:c r="D59" s="21" t="str">
        <x:v>Player/3D VO</x:v>
      </x:c>
      <x:c r="E59" s="21" t="str">
        <x:v>3-6 variations</x:v>
      </x:c>
      <x:c r="F59" s="27" t="str">
        <x:v>Conditional</x:v>
      </x:c>
      <x:c r="G59" s="27" t="str">
        <x:v>P2</x:v>
      </x:c>
      <x:c r="H59" s="27" t="str">
        <x:v>Not Started</x:v>
      </x:c>
      <x:c r="I59" s="27" t="str">
        <x:v>Audio</x:v>
      </x:c>
      <x:c r="J59" s="21" t="str">
        <x:v>48 kHz mono WAV masters + Wwise event plan</x:v>
      </x:c>
      <x:c r="K59" s="21" t="str">
        <x:v>No Bardin performance remains; variation avoids obvious repetition; loudness, distance curve, and interruption behavior match VT2 player VO.</x:v>
      </x:c>
      <x:c r="L59" s="21" t="str">
        <x:v>SRC-013: scripts/settings/dialogue_settings.lua; SRC-007: scripts/settings/profiles/vs_profiles.lua</x:v>
      </x:c>
      <x:c r="M59" s="21" t="str"/>
    </x:row>
    <x:row r="60" ht="46" customHeight="1">
      <x:c r="A60" s="24" t="str">
        <x:v>AUD-056</x:v>
      </x:c>
      <x:c r="B60" s="21" t="str">
        <x:v>Team VO</x:v>
      </x:c>
      <x:c r="C60" s="21" t="str">
        <x:v>Boss spotted</x:v>
      </x:c>
      <x:c r="D60" s="21" t="str">
        <x:v>Player/3D VO</x:v>
      </x:c>
      <x:c r="E60" s="21" t="str">
        <x:v>3-6 variations</x:v>
      </x:c>
      <x:c r="F60" s="27" t="str">
        <x:v>Conditional</x:v>
      </x:c>
      <x:c r="G60" s="27" t="str">
        <x:v>P2</x:v>
      </x:c>
      <x:c r="H60" s="27" t="str">
        <x:v>Not Started</x:v>
      </x:c>
      <x:c r="I60" s="27" t="str">
        <x:v>Audio</x:v>
      </x:c>
      <x:c r="J60" s="21" t="str">
        <x:v>48 kHz mono WAV masters + Wwise event plan</x:v>
      </x:c>
      <x:c r="K60" s="21" t="str">
        <x:v>No Bardin performance remains; variation avoids obvious repetition; loudness, distance curve, and interruption behavior match VT2 player VO.</x:v>
      </x:c>
      <x:c r="L60" s="21" t="str">
        <x:v>SRC-013: scripts/settings/dialogue_settings.lua; SRC-007: scripts/settings/profiles/vs_profiles.lua</x:v>
      </x:c>
      <x:c r="M60" s="21" t="str"/>
    </x:row>
    <x:row r="61" ht="46" customHeight="1">
      <x:c r="A61" s="24" t="str">
        <x:v>AUD-057</x:v>
      </x:c>
      <x:c r="B61" s="21" t="str">
        <x:v>Team VO</x:v>
      </x:c>
      <x:c r="C61" s="21" t="str">
        <x:v>Ammo callout</x:v>
      </x:c>
      <x:c r="D61" s="21" t="str">
        <x:v>Player/3D VO</x:v>
      </x:c>
      <x:c r="E61" s="21" t="str">
        <x:v>3-6 variations</x:v>
      </x:c>
      <x:c r="F61" s="27" t="str">
        <x:v>Conditional</x:v>
      </x:c>
      <x:c r="G61" s="27" t="str">
        <x:v>P2</x:v>
      </x:c>
      <x:c r="H61" s="27" t="str">
        <x:v>Not Started</x:v>
      </x:c>
      <x:c r="I61" s="27" t="str">
        <x:v>Audio</x:v>
      </x:c>
      <x:c r="J61" s="21" t="str">
        <x:v>48 kHz mono WAV masters + Wwise event plan</x:v>
      </x:c>
      <x:c r="K61" s="21" t="str">
        <x:v>No Bardin performance remains; variation avoids obvious repetition; loudness, distance curve, and interruption behavior match VT2 player VO.</x:v>
      </x:c>
      <x:c r="L61" s="21" t="str">
        <x:v>SRC-013: scripts/settings/dialogue_settings.lua; SRC-007: scripts/settings/profiles/vs_profiles.lua</x:v>
      </x:c>
      <x:c r="M61" s="21" t="str"/>
    </x:row>
    <x:row r="62" ht="46" customHeight="1">
      <x:c r="A62" s="24" t="str">
        <x:v>AUD-058</x:v>
      </x:c>
      <x:c r="B62" s="21" t="str">
        <x:v>Team VO</x:v>
      </x:c>
      <x:c r="C62" s="21" t="str">
        <x:v>Healing callout</x:v>
      </x:c>
      <x:c r="D62" s="21" t="str">
        <x:v>Player/3D VO</x:v>
      </x:c>
      <x:c r="E62" s="21" t="str">
        <x:v>3-6 variations</x:v>
      </x:c>
      <x:c r="F62" s="27" t="str">
        <x:v>Conditional</x:v>
      </x:c>
      <x:c r="G62" s="27" t="str">
        <x:v>P2</x:v>
      </x:c>
      <x:c r="H62" s="27" t="str">
        <x:v>Not Started</x:v>
      </x:c>
      <x:c r="I62" s="27" t="str">
        <x:v>Audio</x:v>
      </x:c>
      <x:c r="J62" s="21" t="str">
        <x:v>48 kHz mono WAV masters + Wwise event plan</x:v>
      </x:c>
      <x:c r="K62" s="21" t="str">
        <x:v>No Bardin performance remains; variation avoids obvious repetition; loudness, distance curve, and interruption behavior match VT2 player VO.</x:v>
      </x:c>
      <x:c r="L62" s="21" t="str">
        <x:v>SRC-013: scripts/settings/dialogue_settings.lua; SRC-007: scripts/settings/profiles/vs_profiles.lua</x:v>
      </x:c>
      <x:c r="M62" s="21" t="str"/>
    </x:row>
    <x:row r="63" ht="46" customHeight="1">
      <x:c r="A63" s="24" t="str">
        <x:v>AUD-059</x:v>
      </x:c>
      <x:c r="B63" s="21" t="str">
        <x:v>Team VO</x:v>
      </x:c>
      <x:c r="C63" s="21" t="str">
        <x:v>Potion callout</x:v>
      </x:c>
      <x:c r="D63" s="21" t="str">
        <x:v>Player/3D VO</x:v>
      </x:c>
      <x:c r="E63" s="21" t="str">
        <x:v>3-6 variations</x:v>
      </x:c>
      <x:c r="F63" s="27" t="str">
        <x:v>Conditional</x:v>
      </x:c>
      <x:c r="G63" s="27" t="str">
        <x:v>P2</x:v>
      </x:c>
      <x:c r="H63" s="27" t="str">
        <x:v>Not Started</x:v>
      </x:c>
      <x:c r="I63" s="27" t="str">
        <x:v>Audio</x:v>
      </x:c>
      <x:c r="J63" s="21" t="str">
        <x:v>48 kHz mono WAV masters + Wwise event plan</x:v>
      </x:c>
      <x:c r="K63" s="21" t="str">
        <x:v>No Bardin performance remains; variation avoids obvious repetition; loudness, distance curve, and interruption behavior match VT2 player VO.</x:v>
      </x:c>
      <x:c r="L63" s="21" t="str">
        <x:v>SRC-013: scripts/settings/dialogue_settings.lua; SRC-007: scripts/settings/profiles/vs_profiles.lua</x:v>
      </x:c>
      <x:c r="M63" s="21" t="str"/>
    </x:row>
    <x:row r="64" ht="46" customHeight="1">
      <x:c r="A64" s="24" t="str">
        <x:v>AUD-060</x:v>
      </x:c>
      <x:c r="B64" s="21" t="str">
        <x:v>Team VO</x:v>
      </x:c>
      <x:c r="C64" s="21" t="str">
        <x:v>Bomb callout</x:v>
      </x:c>
      <x:c r="D64" s="21" t="str">
        <x:v>Player/3D VO</x:v>
      </x:c>
      <x:c r="E64" s="21" t="str">
        <x:v>3-6 variations</x:v>
      </x:c>
      <x:c r="F64" s="27" t="str">
        <x:v>Conditional</x:v>
      </x:c>
      <x:c r="G64" s="27" t="str">
        <x:v>P2</x:v>
      </x:c>
      <x:c r="H64" s="27" t="str">
        <x:v>Not Started</x:v>
      </x:c>
      <x:c r="I64" s="27" t="str">
        <x:v>Audio</x:v>
      </x:c>
      <x:c r="J64" s="21" t="str">
        <x:v>48 kHz mono WAV masters + Wwise event plan</x:v>
      </x:c>
      <x:c r="K64" s="21" t="str">
        <x:v>No Bardin performance remains; variation avoids obvious repetition; loudness, distance curve, and interruption behavior match VT2 player VO.</x:v>
      </x:c>
      <x:c r="L64" s="21" t="str">
        <x:v>SRC-013: scripts/settings/dialogue_settings.lua; SRC-007: scripts/settings/profiles/vs_profiles.lua</x:v>
      </x:c>
      <x:c r="M64" s="21" t="str"/>
    </x:row>
    <x:row r="65" ht="46" customHeight="1">
      <x:c r="A65" s="24" t="str">
        <x:v>AUD-061</x:v>
      </x:c>
      <x:c r="B65" s="21" t="str">
        <x:v>Team VO</x:v>
      </x:c>
      <x:c r="C65" s="21" t="str">
        <x:v>Revive callout</x:v>
      </x:c>
      <x:c r="D65" s="21" t="str">
        <x:v>Player/3D VO</x:v>
      </x:c>
      <x:c r="E65" s="21" t="str">
        <x:v>3-6 variations</x:v>
      </x:c>
      <x:c r="F65" s="27" t="str">
        <x:v>Conditional</x:v>
      </x:c>
      <x:c r="G65" s="27" t="str">
        <x:v>P2</x:v>
      </x:c>
      <x:c r="H65" s="27" t="str">
        <x:v>Not Started</x:v>
      </x:c>
      <x:c r="I65" s="27" t="str">
        <x:v>Audio</x:v>
      </x:c>
      <x:c r="J65" s="21" t="str">
        <x:v>48 kHz mono WAV masters + Wwise event plan</x:v>
      </x:c>
      <x:c r="K65" s="21" t="str">
        <x:v>No Bardin performance remains; variation avoids obvious repetition; loudness, distance curve, and interruption behavior match VT2 player VO.</x:v>
      </x:c>
      <x:c r="L65" s="21" t="str">
        <x:v>SRC-013: scripts/settings/dialogue_settings.lua; SRC-007: scripts/settings/profiles/vs_profiles.lua</x:v>
      </x:c>
      <x:c r="M65" s="21" t="str"/>
    </x:row>
    <x:row r="66" ht="46" customHeight="1">
      <x:c r="A66" s="24" t="str">
        <x:v>AUD-062</x:v>
      </x:c>
      <x:c r="B66" s="21" t="str">
        <x:v>Team VO</x:v>
      </x:c>
      <x:c r="C66" s="21" t="str">
        <x:v>Thanks</x:v>
      </x:c>
      <x:c r="D66" s="21" t="str">
        <x:v>Player/3D VO</x:v>
      </x:c>
      <x:c r="E66" s="21" t="str">
        <x:v>3-6 variations</x:v>
      </x:c>
      <x:c r="F66" s="27" t="str">
        <x:v>Conditional</x:v>
      </x:c>
      <x:c r="G66" s="27" t="str">
        <x:v>P2</x:v>
      </x:c>
      <x:c r="H66" s="27" t="str">
        <x:v>Not Started</x:v>
      </x:c>
      <x:c r="I66" s="27" t="str">
        <x:v>Audio</x:v>
      </x:c>
      <x:c r="J66" s="21" t="str">
        <x:v>48 kHz mono WAV masters + Wwise event plan</x:v>
      </x:c>
      <x:c r="K66" s="21" t="str">
        <x:v>No Bardin performance remains; variation avoids obvious repetition; loudness, distance curve, and interruption behavior match VT2 player VO.</x:v>
      </x:c>
      <x:c r="L66" s="21" t="str">
        <x:v>SRC-013: scripts/settings/dialogue_settings.lua; SRC-007: scripts/settings/profiles/vs_profiles.lua</x:v>
      </x:c>
      <x:c r="M66" s="21" t="str"/>
    </x:row>
    <x:row r="67" ht="46" customHeight="1">
      <x:c r="A67" s="24" t="str">
        <x:v>AUD-063</x:v>
      </x:c>
      <x:c r="B67" s="21" t="str">
        <x:v>Team VO</x:v>
      </x:c>
      <x:c r="C67" s="21" t="str">
        <x:v>Apology</x:v>
      </x:c>
      <x:c r="D67" s="21" t="str">
        <x:v>Player/3D VO</x:v>
      </x:c>
      <x:c r="E67" s="21" t="str">
        <x:v>3-6 variations</x:v>
      </x:c>
      <x:c r="F67" s="27" t="str">
        <x:v>Conditional</x:v>
      </x:c>
      <x:c r="G67" s="27" t="str">
        <x:v>P2</x:v>
      </x:c>
      <x:c r="H67" s="27" t="str">
        <x:v>Not Started</x:v>
      </x:c>
      <x:c r="I67" s="27" t="str">
        <x:v>Audio</x:v>
      </x:c>
      <x:c r="J67" s="21" t="str">
        <x:v>48 kHz mono WAV masters + Wwise event plan</x:v>
      </x:c>
      <x:c r="K67" s="21" t="str">
        <x:v>No Bardin performance remains; variation avoids obvious repetition; loudness, distance curve, and interruption behavior match VT2 player VO.</x:v>
      </x:c>
      <x:c r="L67" s="21" t="str">
        <x:v>SRC-013: scripts/settings/dialogue_settings.lua; SRC-007: scripts/settings/profiles/vs_profiles.lua</x:v>
      </x:c>
      <x:c r="M67" s="21" t="str"/>
    </x:row>
    <x:row r="68" ht="46" customHeight="1">
      <x:c r="A68" s="24" t="str">
        <x:v>AUD-064</x:v>
      </x:c>
      <x:c r="B68" s="21" t="str">
        <x:v>Team VO</x:v>
      </x:c>
      <x:c r="C68" s="21" t="str">
        <x:v>Friendly fire dealt</x:v>
      </x:c>
      <x:c r="D68" s="21" t="str">
        <x:v>Player/3D VO</x:v>
      </x:c>
      <x:c r="E68" s="21" t="str">
        <x:v>3-6 variations</x:v>
      </x:c>
      <x:c r="F68" s="27" t="str">
        <x:v>Conditional</x:v>
      </x:c>
      <x:c r="G68" s="27" t="str">
        <x:v>P2</x:v>
      </x:c>
      <x:c r="H68" s="27" t="str">
        <x:v>Not Started</x:v>
      </x:c>
      <x:c r="I68" s="27" t="str">
        <x:v>Audio</x:v>
      </x:c>
      <x:c r="J68" s="21" t="str">
        <x:v>48 kHz mono WAV masters + Wwise event plan</x:v>
      </x:c>
      <x:c r="K68" s="21" t="str">
        <x:v>No Bardin performance remains; variation avoids obvious repetition; loudness, distance curve, and interruption behavior match VT2 player VO.</x:v>
      </x:c>
      <x:c r="L68" s="21" t="str">
        <x:v>SRC-013: scripts/settings/dialogue_settings.lua; SRC-007: scripts/settings/profiles/vs_profiles.lua</x:v>
      </x:c>
      <x:c r="M68" s="21" t="str"/>
    </x:row>
    <x:row r="69" ht="46" customHeight="1">
      <x:c r="A69" s="24" t="str">
        <x:v>AUD-065</x:v>
      </x:c>
      <x:c r="B69" s="21" t="str">
        <x:v>Team VO</x:v>
      </x:c>
      <x:c r="C69" s="21" t="str">
        <x:v>Friendly fire received</x:v>
      </x:c>
      <x:c r="D69" s="21" t="str">
        <x:v>Player/3D VO</x:v>
      </x:c>
      <x:c r="E69" s="21" t="str">
        <x:v>3-6 variations</x:v>
      </x:c>
      <x:c r="F69" s="27" t="str">
        <x:v>Conditional</x:v>
      </x:c>
      <x:c r="G69" s="27" t="str">
        <x:v>P2</x:v>
      </x:c>
      <x:c r="H69" s="27" t="str">
        <x:v>Not Started</x:v>
      </x:c>
      <x:c r="I69" s="27" t="str">
        <x:v>Audio</x:v>
      </x:c>
      <x:c r="J69" s="21" t="str">
        <x:v>48 kHz mono WAV masters + Wwise event plan</x:v>
      </x:c>
      <x:c r="K69" s="21" t="str">
        <x:v>No Bardin performance remains; variation avoids obvious repetition; loudness, distance curve, and interruption behavior match VT2 player VO.</x:v>
      </x:c>
      <x:c r="L69" s="21" t="str">
        <x:v>SRC-013: scripts/settings/dialogue_settings.lua; SRC-007: scripts/settings/profiles/vs_profiles.lua</x:v>
      </x:c>
      <x:c r="M69" s="21" t="str"/>
    </x:row>
    <x:row r="70" ht="46" customHeight="1">
      <x:c r="A70" s="24" t="str">
        <x:v>AUD-066</x:v>
      </x:c>
      <x:c r="B70" s="21" t="str">
        <x:v>Social VO</x:v>
      </x:c>
      <x:c r="C70" s="21" t="str">
        <x:v>Keep idle bark</x:v>
      </x:c>
      <x:c r="D70" s="21" t="str">
        <x:v>Player/3D VO</x:v>
      </x:c>
      <x:c r="E70" s="21" t="str">
        <x:v>3-6 variations</x:v>
      </x:c>
      <x:c r="F70" s="27" t="str">
        <x:v>Conditional</x:v>
      </x:c>
      <x:c r="G70" s="27" t="str">
        <x:v>P2</x:v>
      </x:c>
      <x:c r="H70" s="27" t="str">
        <x:v>Not Started</x:v>
      </x:c>
      <x:c r="I70" s="27" t="str">
        <x:v>Audio</x:v>
      </x:c>
      <x:c r="J70" s="21" t="str">
        <x:v>48 kHz mono WAV masters + Wwise event plan</x:v>
      </x:c>
      <x:c r="K70" s="21" t="str">
        <x:v>No Bardin performance remains; variation avoids obvious repetition; loudness, distance curve, and interruption behavior match VT2 player VO.</x:v>
      </x:c>
      <x:c r="L70" s="21" t="str">
        <x:v>SRC-013: scripts/settings/dialogue_settings.lua; SRC-007: scripts/settings/profiles/vs_profiles.lua</x:v>
      </x:c>
      <x:c r="M70" s="21" t="str"/>
    </x:row>
    <x:row r="71" ht="46" customHeight="1">
      <x:c r="A71" s="24" t="str">
        <x:v>AUD-067</x:v>
      </x:c>
      <x:c r="B71" s="21" t="str">
        <x:v>Social VO</x:v>
      </x:c>
      <x:c r="C71" s="21" t="str">
        <x:v>Mission start</x:v>
      </x:c>
      <x:c r="D71" s="21" t="str">
        <x:v>Player/3D VO</x:v>
      </x:c>
      <x:c r="E71" s="21" t="str">
        <x:v>3-6 variations</x:v>
      </x:c>
      <x:c r="F71" s="27" t="str">
        <x:v>Conditional</x:v>
      </x:c>
      <x:c r="G71" s="27" t="str">
        <x:v>P2</x:v>
      </x:c>
      <x:c r="H71" s="27" t="str">
        <x:v>Not Started</x:v>
      </x:c>
      <x:c r="I71" s="27" t="str">
        <x:v>Audio</x:v>
      </x:c>
      <x:c r="J71" s="21" t="str">
        <x:v>48 kHz mono WAV masters + Wwise event plan</x:v>
      </x:c>
      <x:c r="K71" s="21" t="str">
        <x:v>No Bardin performance remains; variation avoids obvious repetition; loudness, distance curve, and interruption behavior match VT2 player VO.</x:v>
      </x:c>
      <x:c r="L71" s="21" t="str">
        <x:v>SRC-013: scripts/settings/dialogue_settings.lua; SRC-007: scripts/settings/profiles/vs_profiles.lua</x:v>
      </x:c>
      <x:c r="M71" s="21" t="str"/>
    </x:row>
    <x:row r="72" ht="46" customHeight="1">
      <x:c r="A72" s="24" t="str">
        <x:v>AUD-068</x:v>
      </x:c>
      <x:c r="B72" s="21" t="str">
        <x:v>Social VO</x:v>
      </x:c>
      <x:c r="C72" s="21" t="str">
        <x:v>Mission complete</x:v>
      </x:c>
      <x:c r="D72" s="21" t="str">
        <x:v>Player/3D VO</x:v>
      </x:c>
      <x:c r="E72" s="21" t="str">
        <x:v>3-6 variations</x:v>
      </x:c>
      <x:c r="F72" s="27" t="str">
        <x:v>Conditional</x:v>
      </x:c>
      <x:c r="G72" s="27" t="str">
        <x:v>P2</x:v>
      </x:c>
      <x:c r="H72" s="27" t="str">
        <x:v>Not Started</x:v>
      </x:c>
      <x:c r="I72" s="27" t="str">
        <x:v>Audio</x:v>
      </x:c>
      <x:c r="J72" s="21" t="str">
        <x:v>48 kHz mono WAV masters + Wwise event plan</x:v>
      </x:c>
      <x:c r="K72" s="21" t="str">
        <x:v>No Bardin performance remains; variation avoids obvious repetition; loudness, distance curve, and interruption behavior match VT2 player VO.</x:v>
      </x:c>
      <x:c r="L72" s="21" t="str">
        <x:v>SRC-013: scripts/settings/dialogue_settings.lua; SRC-007: scripts/settings/profiles/vs_profiles.lua</x:v>
      </x:c>
      <x:c r="M72" s="21" t="str"/>
    </x:row>
    <x:row r="73" ht="46" customHeight="1">
      <x:c r="A73" s="24" t="str">
        <x:v>AUD-069</x:v>
      </x:c>
      <x:c r="B73" s="21" t="str">
        <x:v>Social VO</x:v>
      </x:c>
      <x:c r="C73" s="21" t="str">
        <x:v>Mission failed</x:v>
      </x:c>
      <x:c r="D73" s="21" t="str">
        <x:v>Player/3D VO</x:v>
      </x:c>
      <x:c r="E73" s="21" t="str">
        <x:v>3-6 variations</x:v>
      </x:c>
      <x:c r="F73" s="27" t="str">
        <x:v>Conditional</x:v>
      </x:c>
      <x:c r="G73" s="27" t="str">
        <x:v>P2</x:v>
      </x:c>
      <x:c r="H73" s="27" t="str">
        <x:v>Not Started</x:v>
      </x:c>
      <x:c r="I73" s="27" t="str">
        <x:v>Audio</x:v>
      </x:c>
      <x:c r="J73" s="21" t="str">
        <x:v>48 kHz mono WAV masters + Wwise event plan</x:v>
      </x:c>
      <x:c r="K73" s="21" t="str">
        <x:v>No Bardin performance remains; variation avoids obvious repetition; loudness, distance curve, and interruption behavior match VT2 player VO.</x:v>
      </x:c>
      <x:c r="L73" s="21" t="str">
        <x:v>SRC-013: scripts/settings/dialogue_settings.lua; SRC-007: scripts/settings/profiles/vs_profiles.lua</x:v>
      </x:c>
      <x:c r="M73" s="21" t="str"/>
    </x:row>
    <x:row r="74" ht="46" customHeight="1">
      <x:c r="A74" s="24" t="str">
        <x:v>AUD-070</x:v>
      </x:c>
      <x:c r="B74" s="21" t="str">
        <x:v>Social VO</x:v>
      </x:c>
      <x:c r="C74" s="21" t="str">
        <x:v>Hero-select confirmation</x:v>
      </x:c>
      <x:c r="D74" s="21" t="str">
        <x:v>Player/3D VO</x:v>
      </x:c>
      <x:c r="E74" s="21" t="str">
        <x:v>3-6 variations</x:v>
      </x:c>
      <x:c r="F74" s="27" t="str">
        <x:v>Conditional</x:v>
      </x:c>
      <x:c r="G74" s="27" t="str">
        <x:v>P2</x:v>
      </x:c>
      <x:c r="H74" s="27" t="str">
        <x:v>Not Started</x:v>
      </x:c>
      <x:c r="I74" s="27" t="str">
        <x:v>Audio</x:v>
      </x:c>
      <x:c r="J74" s="21" t="str">
        <x:v>48 kHz mono WAV masters + Wwise event plan</x:v>
      </x:c>
      <x:c r="K74" s="21" t="str">
        <x:v>No Bardin performance remains; variation avoids obvious repetition; loudness, distance curve, and interruption behavior match VT2 player VO.</x:v>
      </x:c>
      <x:c r="L74" s="21" t="str">
        <x:v>SRC-013: scripts/settings/dialogue_settings.lua; SRC-007: scripts/settings/profiles/vs_profiles.lua</x:v>
      </x:c>
      <x:c r="M74" s="21" t="str"/>
    </x:row>
    <x:row r="75" ht="46" customHeight="1">
      <x:c r="A75" s="24" t="str">
        <x:v>AUD-071</x:v>
      </x:c>
      <x:c r="B75" s="21" t="str">
        <x:v>Social VO</x:v>
      </x:c>
      <x:c r="C75" s="21" t="str">
        <x:v>Emote acknowledgement</x:v>
      </x:c>
      <x:c r="D75" s="21" t="str">
        <x:v>Player/3D VO</x:v>
      </x:c>
      <x:c r="E75" s="21" t="str">
        <x:v>3-6 variations</x:v>
      </x:c>
      <x:c r="F75" s="27" t="str">
        <x:v>Conditional</x:v>
      </x:c>
      <x:c r="G75" s="27" t="str">
        <x:v>P2</x:v>
      </x:c>
      <x:c r="H75" s="27" t="str">
        <x:v>Not Started</x:v>
      </x:c>
      <x:c r="I75" s="27" t="str">
        <x:v>Audio</x:v>
      </x:c>
      <x:c r="J75" s="21" t="str">
        <x:v>48 kHz mono WAV masters + Wwise event plan</x:v>
      </x:c>
      <x:c r="K75" s="21" t="str">
        <x:v>No Bardin performance remains; variation avoids obvious repetition; loudness, distance curve, and interruption behavior match VT2 player VO.</x:v>
      </x:c>
      <x:c r="L75" s="21" t="str">
        <x:v>SRC-013: scripts/settings/dialogue_settings.lua; SRC-007: scripts/settings/profiles/vs_profiles.lua</x:v>
      </x:c>
      <x:c r="M75" s="21" t="str"/>
    </x:row>
    <x:row r="76" ht="46" customHeight="1">
      <x:c r="A76" s="24" t="str">
        <x:v>AUD-072</x:v>
      </x:c>
      <x:c r="B76" s="21" t="str">
        <x:v>Foley</x:v>
      </x:c>
      <x:c r="C76" s="21" t="str">
        <x:v>Bare paw footsteps stone</x:v>
      </x:c>
      <x:c r="D76" s="21" t="str">
        <x:v>3D SFX</x:v>
      </x:c>
      <x:c r="E76" s="21" t="str">
        <x:v>Surface or intensity variants</x:v>
      </x:c>
      <x:c r="F76" s="27" t="str">
        <x:v>Required</x:v>
      </x:c>
      <x:c r="G76" s="27" t="str">
        <x:v>P2</x:v>
      </x:c>
      <x:c r="H76" s="27" t="str">
        <x:v>Not Started</x:v>
      </x:c>
      <x:c r="I76" s="27" t="str">
        <x:v>Audio</x:v>
      </x:c>
      <x:c r="J76" s="21" t="str">
        <x:v>48 kHz WAV set + Wwise event</x:v>
      </x:c>
      <x:c r="K76" s="21" t="str">
        <x:v>Timing matches animation contacts and does not mask gameplay-critical enemy cues.</x:v>
      </x:c>
      <x:c r="L76" s="21" t="str">
        <x:v>SRC-001: scripts/unit_extensions/default_player_unit/states/; SRC-013: scripts/settings/dialogue_settings.lua</x:v>
      </x:c>
      <x:c r="M76" s="21" t="str"/>
    </x:row>
    <x:row r="77" ht="46" customHeight="1">
      <x:c r="A77" s="24" t="str">
        <x:v>AUD-073</x:v>
      </x:c>
      <x:c r="B77" s="21" t="str">
        <x:v>Foley</x:v>
      </x:c>
      <x:c r="C77" s="21" t="str">
        <x:v>Bare paw footsteps wood</x:v>
      </x:c>
      <x:c r="D77" s="21" t="str">
        <x:v>3D SFX</x:v>
      </x:c>
      <x:c r="E77" s="21" t="str">
        <x:v>Surface or intensity variants</x:v>
      </x:c>
      <x:c r="F77" s="27" t="str">
        <x:v>Required</x:v>
      </x:c>
      <x:c r="G77" s="27" t="str">
        <x:v>P2</x:v>
      </x:c>
      <x:c r="H77" s="27" t="str">
        <x:v>Not Started</x:v>
      </x:c>
      <x:c r="I77" s="27" t="str">
        <x:v>Audio</x:v>
      </x:c>
      <x:c r="J77" s="21" t="str">
        <x:v>48 kHz WAV set + Wwise event</x:v>
      </x:c>
      <x:c r="K77" s="21" t="str">
        <x:v>Timing matches animation contacts and does not mask gameplay-critical enemy cues.</x:v>
      </x:c>
      <x:c r="L77" s="21" t="str">
        <x:v>SRC-001: scripts/unit_extensions/default_player_unit/states/; SRC-013: scripts/settings/dialogue_settings.lua</x:v>
      </x:c>
      <x:c r="M77" s="21" t="str"/>
    </x:row>
    <x:row r="78" ht="46" customHeight="1">
      <x:c r="A78" s="24" t="str">
        <x:v>AUD-074</x:v>
      </x:c>
      <x:c r="B78" s="21" t="str">
        <x:v>Foley</x:v>
      </x:c>
      <x:c r="C78" s="21" t="str">
        <x:v>Bare paw footsteps dirt</x:v>
      </x:c>
      <x:c r="D78" s="21" t="str">
        <x:v>3D SFX</x:v>
      </x:c>
      <x:c r="E78" s="21" t="str">
        <x:v>Surface or intensity variants</x:v>
      </x:c>
      <x:c r="F78" s="27" t="str">
        <x:v>Required</x:v>
      </x:c>
      <x:c r="G78" s="27" t="str">
        <x:v>P2</x:v>
      </x:c>
      <x:c r="H78" s="27" t="str">
        <x:v>Not Started</x:v>
      </x:c>
      <x:c r="I78" s="27" t="str">
        <x:v>Audio</x:v>
      </x:c>
      <x:c r="J78" s="21" t="str">
        <x:v>48 kHz WAV set + Wwise event</x:v>
      </x:c>
      <x:c r="K78" s="21" t="str">
        <x:v>Timing matches animation contacts and does not mask gameplay-critical enemy cues.</x:v>
      </x:c>
      <x:c r="L78" s="21" t="str">
        <x:v>SRC-001: scripts/unit_extensions/default_player_unit/states/; SRC-013: scripts/settings/dialogue_settings.lua</x:v>
      </x:c>
      <x:c r="M78" s="21" t="str"/>
    </x:row>
    <x:row r="79" ht="46" customHeight="1">
      <x:c r="A79" s="24" t="str">
        <x:v>AUD-075</x:v>
      </x:c>
      <x:c r="B79" s="21" t="str">
        <x:v>Foley</x:v>
      </x:c>
      <x:c r="C79" s="21" t="str">
        <x:v>Bare paw footsteps snow</x:v>
      </x:c>
      <x:c r="D79" s="21" t="str">
        <x:v>3D SFX</x:v>
      </x:c>
      <x:c r="E79" s="21" t="str">
        <x:v>Surface or intensity variants</x:v>
      </x:c>
      <x:c r="F79" s="27" t="str">
        <x:v>Required</x:v>
      </x:c>
      <x:c r="G79" s="27" t="str">
        <x:v>P2</x:v>
      </x:c>
      <x:c r="H79" s="27" t="str">
        <x:v>Not Started</x:v>
      </x:c>
      <x:c r="I79" s="27" t="str">
        <x:v>Audio</x:v>
      </x:c>
      <x:c r="J79" s="21" t="str">
        <x:v>48 kHz WAV set + Wwise event</x:v>
      </x:c>
      <x:c r="K79" s="21" t="str">
        <x:v>Timing matches animation contacts and does not mask gameplay-critical enemy cues.</x:v>
      </x:c>
      <x:c r="L79" s="21" t="str">
        <x:v>SRC-001: scripts/unit_extensions/default_player_unit/states/; SRC-013: scripts/settings/dialogue_settings.lua</x:v>
      </x:c>
      <x:c r="M79" s="21" t="str"/>
    </x:row>
    <x:row r="80" ht="46" customHeight="1">
      <x:c r="A80" s="24" t="str">
        <x:v>AUD-076</x:v>
      </x:c>
      <x:c r="B80" s="21" t="str">
        <x:v>Foley</x:v>
      </x:c>
      <x:c r="C80" s="21" t="str">
        <x:v>Bare paw footsteps metal</x:v>
      </x:c>
      <x:c r="D80" s="21" t="str">
        <x:v>3D SFX</x:v>
      </x:c>
      <x:c r="E80" s="21" t="str">
        <x:v>Surface or intensity variants</x:v>
      </x:c>
      <x:c r="F80" s="27" t="str">
        <x:v>Required</x:v>
      </x:c>
      <x:c r="G80" s="27" t="str">
        <x:v>P2</x:v>
      </x:c>
      <x:c r="H80" s="27" t="str">
        <x:v>Not Started</x:v>
      </x:c>
      <x:c r="I80" s="27" t="str">
        <x:v>Audio</x:v>
      </x:c>
      <x:c r="J80" s="21" t="str">
        <x:v>48 kHz WAV set + Wwise event</x:v>
      </x:c>
      <x:c r="K80" s="21" t="str">
        <x:v>Timing matches animation contacts and does not mask gameplay-critical enemy cues.</x:v>
      </x:c>
      <x:c r="L80" s="21" t="str">
        <x:v>SRC-001: scripts/unit_extensions/default_player_unit/states/; SRC-013: scripts/settings/dialogue_settings.lua</x:v>
      </x:c>
      <x:c r="M80" s="21" t="str"/>
    </x:row>
    <x:row r="81" ht="46" customHeight="1">
      <x:c r="A81" s="24" t="str">
        <x:v>AUD-077</x:v>
      </x:c>
      <x:c r="B81" s="21" t="str">
        <x:v>Foley</x:v>
      </x:c>
      <x:c r="C81" s="21" t="str">
        <x:v>Armor/cloth movement</x:v>
      </x:c>
      <x:c r="D81" s="21" t="str">
        <x:v>3D SFX</x:v>
      </x:c>
      <x:c r="E81" s="21" t="str">
        <x:v>Surface or intensity variants</x:v>
      </x:c>
      <x:c r="F81" s="27" t="str">
        <x:v>Required</x:v>
      </x:c>
      <x:c r="G81" s="27" t="str">
        <x:v>P2</x:v>
      </x:c>
      <x:c r="H81" s="27" t="str">
        <x:v>Not Started</x:v>
      </x:c>
      <x:c r="I81" s="27" t="str">
        <x:v>Audio</x:v>
      </x:c>
      <x:c r="J81" s="21" t="str">
        <x:v>48 kHz WAV set + Wwise event</x:v>
      </x:c>
      <x:c r="K81" s="21" t="str">
        <x:v>Timing matches animation contacts and does not mask gameplay-critical enemy cues.</x:v>
      </x:c>
      <x:c r="L81" s="21" t="str">
        <x:v>SRC-001: scripts/unit_extensions/default_player_unit/states/; SRC-013: scripts/settings/dialogue_settings.lua</x:v>
      </x:c>
      <x:c r="M81" s="21" t="str"/>
    </x:row>
    <x:row r="82" ht="46" customHeight="1">
      <x:c r="A82" s="24" t="str">
        <x:v>AUD-078</x:v>
      </x:c>
      <x:c r="B82" s="21" t="str">
        <x:v>Foley</x:v>
      </x:c>
      <x:c r="C82" s="21" t="str">
        <x:v>Bag equipment rattle</x:v>
      </x:c>
      <x:c r="D82" s="21" t="str">
        <x:v>3D SFX</x:v>
      </x:c>
      <x:c r="E82" s="21" t="str">
        <x:v>Surface or intensity variants</x:v>
      </x:c>
      <x:c r="F82" s="27" t="str">
        <x:v>Required</x:v>
      </x:c>
      <x:c r="G82" s="27" t="str">
        <x:v>P2</x:v>
      </x:c>
      <x:c r="H82" s="27" t="str">
        <x:v>Not Started</x:v>
      </x:c>
      <x:c r="I82" s="27" t="str">
        <x:v>Audio</x:v>
      </x:c>
      <x:c r="J82" s="21" t="str">
        <x:v>48 kHz WAV set + Wwise event</x:v>
      </x:c>
      <x:c r="K82" s="21" t="str">
        <x:v>Timing matches animation contacts and does not mask gameplay-critical enemy cues.</x:v>
      </x:c>
      <x:c r="L82" s="21" t="str">
        <x:v>SRC-001: scripts/unit_extensions/default_player_unit/states/; SRC-013: scripts/settings/dialogue_settings.lua</x:v>
      </x:c>
      <x:c r="M82" s="21" t="str"/>
    </x:row>
    <x:row r="83" ht="46" customHeight="1">
      <x:c r="A83" s="24" t="str">
        <x:v>AUD-079</x:v>
      </x:c>
      <x:c r="B83" s="21" t="str">
        <x:v>Foley</x:v>
      </x:c>
      <x:c r="C83" s="21" t="str">
        <x:v>Tail/fur movement</x:v>
      </x:c>
      <x:c r="D83" s="21" t="str">
        <x:v>3D SFX</x:v>
      </x:c>
      <x:c r="E83" s="21" t="str">
        <x:v>Surface or intensity variants</x:v>
      </x:c>
      <x:c r="F83" s="27" t="str">
        <x:v>Required</x:v>
      </x:c>
      <x:c r="G83" s="27" t="str">
        <x:v>P2</x:v>
      </x:c>
      <x:c r="H83" s="27" t="str">
        <x:v>Not Started</x:v>
      </x:c>
      <x:c r="I83" s="27" t="str">
        <x:v>Audio</x:v>
      </x:c>
      <x:c r="J83" s="21" t="str">
        <x:v>48 kHz WAV set + Wwise event</x:v>
      </x:c>
      <x:c r="K83" s="21" t="str">
        <x:v>Timing matches animation contacts and does not mask gameplay-critical enemy cues.</x:v>
      </x:c>
      <x:c r="L83" s="21" t="str">
        <x:v>SRC-001: scripts/unit_extensions/default_player_unit/states/; SRC-013: scripts/settings/dialogue_settings.lua</x:v>
      </x:c>
      <x:c r="M83" s="21" t="str"/>
    </x:row>
    <x:row r="84" ht="46" customHeight="1">
      <x:c r="A84" s="24" t="str">
        <x:v>AUD-080</x:v>
      </x:c>
      <x:c r="B84" s="21" t="str">
        <x:v>Foley</x:v>
      </x:c>
      <x:c r="C84" s="21" t="str">
        <x:v>Weapon draw/stow sweetener</x:v>
      </x:c>
      <x:c r="D84" s="21" t="str">
        <x:v>3D SFX</x:v>
      </x:c>
      <x:c r="E84" s="21" t="str">
        <x:v>Surface or intensity variants</x:v>
      </x:c>
      <x:c r="F84" s="27" t="str">
        <x:v>Required</x:v>
      </x:c>
      <x:c r="G84" s="27" t="str">
        <x:v>P2</x:v>
      </x:c>
      <x:c r="H84" s="27" t="str">
        <x:v>Not Started</x:v>
      </x:c>
      <x:c r="I84" s="27" t="str">
        <x:v>Audio</x:v>
      </x:c>
      <x:c r="J84" s="21" t="str">
        <x:v>48 kHz WAV set + Wwise event</x:v>
      </x:c>
      <x:c r="K84" s="21" t="str">
        <x:v>Timing matches animation contacts and does not mask gameplay-critical enemy cues.</x:v>
      </x:c>
      <x:c r="L84" s="21" t="str">
        <x:v>SRC-001: scripts/unit_extensions/default_player_unit/states/; SRC-013: scripts/settings/dialogue_settings.lua</x:v>
      </x:c>
      <x:c r="M84" s="21" t="str"/>
    </x:row>
    <x:row r="85" ht="46" customHeight="1">
      <x:c r="A85" s="24" t="str">
        <x:v>AUD-081</x:v>
      </x:c>
      <x:c r="B85" s="21" t="str">
        <x:v>Foley</x:v>
      </x:c>
      <x:c r="C85" s="21" t="str">
        <x:v>Hand contact/interaction</x:v>
      </x:c>
      <x:c r="D85" s="21" t="str">
        <x:v>3D SFX</x:v>
      </x:c>
      <x:c r="E85" s="21" t="str">
        <x:v>Surface or intensity variants</x:v>
      </x:c>
      <x:c r="F85" s="27" t="str">
        <x:v>Required</x:v>
      </x:c>
      <x:c r="G85" s="27" t="str">
        <x:v>P2</x:v>
      </x:c>
      <x:c r="H85" s="27" t="str">
        <x:v>Not Started</x:v>
      </x:c>
      <x:c r="I85" s="27" t="str">
        <x:v>Audio</x:v>
      </x:c>
      <x:c r="J85" s="21" t="str">
        <x:v>48 kHz WAV set + Wwise event</x:v>
      </x:c>
      <x:c r="K85" s="21" t="str">
        <x:v>Timing matches animation contacts and does not mask gameplay-critical enemy cues.</x:v>
      </x:c>
      <x:c r="L85" s="21" t="str">
        <x:v>SRC-001: scripts/unit_extensions/default_player_unit/states/; SRC-013: scripts/settings/dialogue_settings.lua</x:v>
      </x:c>
      <x:c r="M85" s="21" t="str"/>
    </x:row>
    <x:row r="86" ht="46" customHeight="1">
      <x:c r="A86" s="24" t="str">
        <x:v>AUD-082</x:v>
      </x:c>
      <x:c r="B86" s="21" t="str">
        <x:v>Foley</x:v>
      </x:c>
      <x:c r="C86" s="21" t="str">
        <x:v>Body fall/ragdoll</x:v>
      </x:c>
      <x:c r="D86" s="21" t="str">
        <x:v>3D SFX</x:v>
      </x:c>
      <x:c r="E86" s="21" t="str">
        <x:v>Surface or intensity variants</x:v>
      </x:c>
      <x:c r="F86" s="27" t="str">
        <x:v>Required</x:v>
      </x:c>
      <x:c r="G86" s="27" t="str">
        <x:v>P2</x:v>
      </x:c>
      <x:c r="H86" s="27" t="str">
        <x:v>Not Started</x:v>
      </x:c>
      <x:c r="I86" s="27" t="str">
        <x:v>Audio</x:v>
      </x:c>
      <x:c r="J86" s="21" t="str">
        <x:v>48 kHz WAV set + Wwise event</x:v>
      </x:c>
      <x:c r="K86" s="21" t="str">
        <x:v>Timing matches animation contacts and does not mask gameplay-critical enemy cues.</x:v>
      </x:c>
      <x:c r="L86" s="21" t="str">
        <x:v>SRC-001: scripts/unit_extensions/default_player_unit/states/; SRC-013: scripts/settings/dialogue_settings.lua</x:v>
      </x:c>
      <x:c r="M86" s="21" t="str"/>
    </x:row>
    <x:row r="87" ht="46" customHeight="1">
      <x:c r="A87" s="24" t="str">
        <x:v>AUD-083</x:v>
      </x:c>
      <x:c r="B87" s="21" t="str">
        <x:v>Foley</x:v>
      </x:c>
      <x:c r="C87" s="21" t="str">
        <x:v>Ladder/ledge contact</x:v>
      </x:c>
      <x:c r="D87" s="21" t="str">
        <x:v>3D SFX</x:v>
      </x:c>
      <x:c r="E87" s="21" t="str">
        <x:v>Surface or intensity variants</x:v>
      </x:c>
      <x:c r="F87" s="27" t="str">
        <x:v>Required</x:v>
      </x:c>
      <x:c r="G87" s="27" t="str">
        <x:v>P2</x:v>
      </x:c>
      <x:c r="H87" s="27" t="str">
        <x:v>Not Started</x:v>
      </x:c>
      <x:c r="I87" s="27" t="str">
        <x:v>Audio</x:v>
      </x:c>
      <x:c r="J87" s="21" t="str">
        <x:v>48 kHz WAV set + Wwise event</x:v>
      </x:c>
      <x:c r="K87" s="21" t="str">
        <x:v>Timing matches animation contacts and does not mask gameplay-critical enemy cues.</x:v>
      </x:c>
      <x:c r="L87" s="21" t="str">
        <x:v>SRC-001: scripts/unit_extensions/default_player_unit/states/; SRC-013: scripts/settings/dialogue_settings.lua</x:v>
      </x:c>
      <x:c r="M87" s="21" t="str"/>
    </x:row>
    <x:row r="88" ht="46" customHeight="1">
      <x:c r="A88" s="24" t="str">
        <x:v>AUD-084</x:v>
      </x:c>
      <x:c r="B88" s="21" t="str">
        <x:v>Career SFX</x:v>
      </x:c>
      <x:c r="C88" s="21" t="str">
        <x:v>Bag equip</x:v>
      </x:c>
      <x:c r="D88" s="21" t="str">
        <x:v>2D/3D SFX</x:v>
      </x:c>
      <x:c r="E88" s="21" t="str">
        <x:v>Local and remote mix</x:v>
      </x:c>
      <x:c r="F88" s="27" t="str">
        <x:v>Required</x:v>
      </x:c>
      <x:c r="G88" s="27" t="str">
        <x:v>P2</x:v>
      </x:c>
      <x:c r="H88" s="27" t="str">
        <x:v>Not Started</x:v>
      </x:c>
      <x:c r="I88" s="27" t="str">
        <x:v>Audio</x:v>
      </x:c>
      <x:c r="J88" s="21" t="str">
        <x:v>48 kHz WAV + Wwise event</x:v>
      </x:c>
      <x:c r="K88" s="21" t="str">
        <x:v>Has clear gameplay timing, remote attenuation, and no collision with existing Globadier warning language.</x:v>
      </x:c>
      <x:c r="L88" s="21" t="str">
        <x:v>SRC-017: scripts/ui/hud_ui/ability_ui.lua and career_ability_bar_ui.lua; SRC-014: scripts/unit_extensions/generic/interactions.lua; SRC-022: vt2-pusfume-1p/docs/PUSFUME_CAREER_SPEC_V2.md</x:v>
      </x:c>
      <x:c r="M88" s="21" t="str"/>
    </x:row>
    <x:row r="89" ht="46" customHeight="1">
      <x:c r="A89" s="24" t="str">
        <x:v>AUD-085</x:v>
      </x:c>
      <x:c r="B89" s="21" t="str">
        <x:v>Career SFX</x:v>
      </x:c>
      <x:c r="C89" s="21" t="str">
        <x:v>Bag placement</x:v>
      </x:c>
      <x:c r="D89" s="21" t="str">
        <x:v>2D/3D SFX</x:v>
      </x:c>
      <x:c r="E89" s="21" t="str">
        <x:v>Local and remote mix</x:v>
      </x:c>
      <x:c r="F89" s="27" t="str">
        <x:v>Required</x:v>
      </x:c>
      <x:c r="G89" s="27" t="str">
        <x:v>P1</x:v>
      </x:c>
      <x:c r="H89" s="27" t="str">
        <x:v>Not Started</x:v>
      </x:c>
      <x:c r="I89" s="27" t="str">
        <x:v>Audio</x:v>
      </x:c>
      <x:c r="J89" s="21" t="str">
        <x:v>48 kHz WAV + Wwise event</x:v>
      </x:c>
      <x:c r="K89" s="21" t="str">
        <x:v>Has clear gameplay timing, remote attenuation, and no collision with existing Globadier warning language.</x:v>
      </x:c>
      <x:c r="L89" s="21" t="str">
        <x:v>SRC-017: scripts/ui/hud_ui/ability_ui.lua and career_ability_bar_ui.lua; SRC-014: scripts/unit_extensions/generic/interactions.lua; SRC-022: vt2-pusfume-1p/docs/PUSFUME_CAREER_SPEC_V2.md</x:v>
      </x:c>
      <x:c r="M89" s="21" t="str"/>
    </x:row>
    <x:row r="90" ht="46" customHeight="1">
      <x:c r="A90" s="24" t="str">
        <x:v>AUD-086</x:v>
      </x:c>
      <x:c r="B90" s="21" t="str">
        <x:v>Career SFX</x:v>
      </x:c>
      <x:c r="C90" s="21" t="str">
        <x:v>Bag ground impact</x:v>
      </x:c>
      <x:c r="D90" s="21" t="str">
        <x:v>2D/3D SFX</x:v>
      </x:c>
      <x:c r="E90" s="21" t="str">
        <x:v>Local and remote mix</x:v>
      </x:c>
      <x:c r="F90" s="27" t="str">
        <x:v>Required</x:v>
      </x:c>
      <x:c r="G90" s="27" t="str">
        <x:v>P2</x:v>
      </x:c>
      <x:c r="H90" s="27" t="str">
        <x:v>Not Started</x:v>
      </x:c>
      <x:c r="I90" s="27" t="str">
        <x:v>Audio</x:v>
      </x:c>
      <x:c r="J90" s="21" t="str">
        <x:v>48 kHz WAV + Wwise event</x:v>
      </x:c>
      <x:c r="K90" s="21" t="str">
        <x:v>Has clear gameplay timing, remote attenuation, and no collision with existing Globadier warning language.</x:v>
      </x:c>
      <x:c r="L90" s="21" t="str">
        <x:v>SRC-017: scripts/ui/hud_ui/ability_ui.lua and career_ability_bar_ui.lua; SRC-014: scripts/unit_extensions/generic/interactions.lua; SRC-022: vt2-pusfume-1p/docs/PUSFUME_CAREER_SPEC_V2.md</x:v>
      </x:c>
      <x:c r="M90" s="21" t="str"/>
    </x:row>
    <x:row r="91" ht="46" customHeight="1">
      <x:c r="A91" s="24" t="str">
        <x:v>AUD-087</x:v>
      </x:c>
      <x:c r="B91" s="21" t="str">
        <x:v>Career SFX</x:v>
      </x:c>
      <x:c r="C91" s="21" t="str">
        <x:v>Bag ambient loop</x:v>
      </x:c>
      <x:c r="D91" s="21" t="str">
        <x:v>2D/3D SFX</x:v>
      </x:c>
      <x:c r="E91" s="21" t="str">
        <x:v>Local and remote mix</x:v>
      </x:c>
      <x:c r="F91" s="27" t="str">
        <x:v>Required</x:v>
      </x:c>
      <x:c r="G91" s="27" t="str">
        <x:v>P2</x:v>
      </x:c>
      <x:c r="H91" s="27" t="str">
        <x:v>Not Started</x:v>
      </x:c>
      <x:c r="I91" s="27" t="str">
        <x:v>Audio</x:v>
      </x:c>
      <x:c r="J91" s="21" t="str">
        <x:v>48 kHz WAV + Wwise event</x:v>
      </x:c>
      <x:c r="K91" s="21" t="str">
        <x:v>Has clear gameplay timing, remote attenuation, and no collision with existing Globadier warning language.</x:v>
      </x:c>
      <x:c r="L91" s="21" t="str">
        <x:v>SRC-017: scripts/ui/hud_ui/ability_ui.lua and career_ability_bar_ui.lua; SRC-014: scripts/unit_extensions/generic/interactions.lua; SRC-022: vt2-pusfume-1p/docs/PUSFUME_CAREER_SPEC_V2.md</x:v>
      </x:c>
      <x:c r="M91" s="21" t="str"/>
    </x:row>
    <x:row r="92" ht="46" customHeight="1">
      <x:c r="A92" s="24" t="str">
        <x:v>AUD-088</x:v>
      </x:c>
      <x:c r="B92" s="21" t="str">
        <x:v>Career SFX</x:v>
      </x:c>
      <x:c r="C92" s="21" t="str">
        <x:v>Bag interaction start</x:v>
      </x:c>
      <x:c r="D92" s="21" t="str">
        <x:v>2D/3D SFX</x:v>
      </x:c>
      <x:c r="E92" s="21" t="str">
        <x:v>Local and remote mix</x:v>
      </x:c>
      <x:c r="F92" s="27" t="str">
        <x:v>Required</x:v>
      </x:c>
      <x:c r="G92" s="27" t="str">
        <x:v>P2</x:v>
      </x:c>
      <x:c r="H92" s="27" t="str">
        <x:v>Not Started</x:v>
      </x:c>
      <x:c r="I92" s="27" t="str">
        <x:v>Audio</x:v>
      </x:c>
      <x:c r="J92" s="21" t="str">
        <x:v>48 kHz WAV + Wwise event</x:v>
      </x:c>
      <x:c r="K92" s="21" t="str">
        <x:v>Has clear gameplay timing, remote attenuation, and no collision with existing Globadier warning language.</x:v>
      </x:c>
      <x:c r="L92" s="21" t="str">
        <x:v>SRC-017: scripts/ui/hud_ui/ability_ui.lua and career_ability_bar_ui.lua; SRC-014: scripts/unit_extensions/generic/interactions.lua; SRC-022: vt2-pusfume-1p/docs/PUSFUME_CAREER_SPEC_V2.md</x:v>
      </x:c>
      <x:c r="M92" s="21" t="str"/>
    </x:row>
    <x:row r="93" ht="46" customHeight="1">
      <x:c r="A93" s="24" t="str">
        <x:v>AUD-089</x:v>
      </x:c>
      <x:c r="B93" s="21" t="str">
        <x:v>Career SFX</x:v>
      </x:c>
      <x:c r="C93" s="21" t="str">
        <x:v>Enchant processing loop</x:v>
      </x:c>
      <x:c r="D93" s="21" t="str">
        <x:v>2D/3D SFX</x:v>
      </x:c>
      <x:c r="E93" s="21" t="str">
        <x:v>Local and remote mix</x:v>
      </x:c>
      <x:c r="F93" s="27" t="str">
        <x:v>Required</x:v>
      </x:c>
      <x:c r="G93" s="27" t="str">
        <x:v>P2</x:v>
      </x:c>
      <x:c r="H93" s="27" t="str">
        <x:v>Not Started</x:v>
      </x:c>
      <x:c r="I93" s="27" t="str">
        <x:v>Audio</x:v>
      </x:c>
      <x:c r="J93" s="21" t="str">
        <x:v>48 kHz WAV + Wwise event</x:v>
      </x:c>
      <x:c r="K93" s="21" t="str">
        <x:v>Has clear gameplay timing, remote attenuation, and no collision with existing Globadier warning language.</x:v>
      </x:c>
      <x:c r="L93" s="21" t="str">
        <x:v>SRC-017: scripts/ui/hud_ui/ability_ui.lua and career_ability_bar_ui.lua; SRC-014: scripts/unit_extensions/generic/interactions.lua; SRC-022: vt2-pusfume-1p/docs/PUSFUME_CAREER_SPEC_V2.md</x:v>
      </x:c>
      <x:c r="M93" s="21" t="str"/>
    </x:row>
    <x:row r="94" ht="46" customHeight="1">
      <x:c r="A94" s="24" t="str">
        <x:v>AUD-090</x:v>
      </x:c>
      <x:c r="B94" s="21" t="str">
        <x:v>Career SFX</x:v>
      </x:c>
      <x:c r="C94" s="21" t="str">
        <x:v>Enchant success</x:v>
      </x:c>
      <x:c r="D94" s="21" t="str">
        <x:v>2D/3D SFX</x:v>
      </x:c>
      <x:c r="E94" s="21" t="str">
        <x:v>Local and remote mix</x:v>
      </x:c>
      <x:c r="F94" s="27" t="str">
        <x:v>Required</x:v>
      </x:c>
      <x:c r="G94" s="27" t="str">
        <x:v>P1</x:v>
      </x:c>
      <x:c r="H94" s="27" t="str">
        <x:v>Not Started</x:v>
      </x:c>
      <x:c r="I94" s="27" t="str">
        <x:v>Audio</x:v>
      </x:c>
      <x:c r="J94" s="21" t="str">
        <x:v>48 kHz WAV + Wwise event</x:v>
      </x:c>
      <x:c r="K94" s="21" t="str">
        <x:v>Has clear gameplay timing, remote attenuation, and no collision with existing Globadier warning language.</x:v>
      </x:c>
      <x:c r="L94" s="21" t="str">
        <x:v>SRC-017: scripts/ui/hud_ui/ability_ui.lua and career_ability_bar_ui.lua; SRC-014: scripts/unit_extensions/generic/interactions.lua; SRC-022: vt2-pusfume-1p/docs/PUSFUME_CAREER_SPEC_V2.md</x:v>
      </x:c>
      <x:c r="M94" s="21" t="str"/>
    </x:row>
    <x:row r="95" ht="46" customHeight="1">
      <x:c r="A95" s="24" t="str">
        <x:v>AUD-091</x:v>
      </x:c>
      <x:c r="B95" s="21" t="str">
        <x:v>Career SFX</x:v>
      </x:c>
      <x:c r="C95" s="21" t="str">
        <x:v>Enchant failure</x:v>
      </x:c>
      <x:c r="D95" s="21" t="str">
        <x:v>2D/3D SFX</x:v>
      </x:c>
      <x:c r="E95" s="21" t="str">
        <x:v>Local and remote mix</x:v>
      </x:c>
      <x:c r="F95" s="27" t="str">
        <x:v>Required</x:v>
      </x:c>
      <x:c r="G95" s="27" t="str">
        <x:v>P2</x:v>
      </x:c>
      <x:c r="H95" s="27" t="str">
        <x:v>Not Started</x:v>
      </x:c>
      <x:c r="I95" s="27" t="str">
        <x:v>Audio</x:v>
      </x:c>
      <x:c r="J95" s="21" t="str">
        <x:v>48 kHz WAV + Wwise event</x:v>
      </x:c>
      <x:c r="K95" s="21" t="str">
        <x:v>Has clear gameplay timing, remote attenuation, and no collision with existing Globadier warning language.</x:v>
      </x:c>
      <x:c r="L95" s="21" t="str">
        <x:v>SRC-017: scripts/ui/hud_ui/ability_ui.lua and career_ability_bar_ui.lua; SRC-014: scripts/unit_extensions/generic/interactions.lua; SRC-022: vt2-pusfume-1p/docs/PUSFUME_CAREER_SPEC_V2.md</x:v>
      </x:c>
      <x:c r="M95" s="21" t="str"/>
    </x:row>
    <x:row r="96" ht="46" customHeight="1">
      <x:c r="A96" s="24" t="str">
        <x:v>AUD-092</x:v>
      </x:c>
      <x:c r="B96" s="21" t="str">
        <x:v>Career SFX</x:v>
      </x:c>
      <x:c r="C96" s="21" t="str">
        <x:v>Bomb upgrade</x:v>
      </x:c>
      <x:c r="D96" s="21" t="str">
        <x:v>2D/3D SFX</x:v>
      </x:c>
      <x:c r="E96" s="21" t="str">
        <x:v>Local and remote mix</x:v>
      </x:c>
      <x:c r="F96" s="27" t="str">
        <x:v>Required</x:v>
      </x:c>
      <x:c r="G96" s="27" t="str">
        <x:v>P2</x:v>
      </x:c>
      <x:c r="H96" s="27" t="str">
        <x:v>Not Started</x:v>
      </x:c>
      <x:c r="I96" s="27" t="str">
        <x:v>Audio</x:v>
      </x:c>
      <x:c r="J96" s="21" t="str">
        <x:v>48 kHz WAV + Wwise event</x:v>
      </x:c>
      <x:c r="K96" s="21" t="str">
        <x:v>Has clear gameplay timing, remote attenuation, and no collision with existing Globadier warning language.</x:v>
      </x:c>
      <x:c r="L96" s="21" t="str">
        <x:v>SRC-017: scripts/ui/hud_ui/ability_ui.lua and career_ability_bar_ui.lua; SRC-014: scripts/unit_extensions/generic/interactions.lua; SRC-022: vt2-pusfume-1p/docs/PUSFUME_CAREER_SPEC_V2.md</x:v>
      </x:c>
      <x:c r="M96" s="21" t="str"/>
    </x:row>
    <x:row r="97" ht="46" customHeight="1">
      <x:c r="A97" s="24" t="str">
        <x:v>AUD-093</x:v>
      </x:c>
      <x:c r="B97" s="21" t="str">
        <x:v>Career SFX</x:v>
      </x:c>
      <x:c r="C97" s="21" t="str">
        <x:v>Gas trap craft</x:v>
      </x:c>
      <x:c r="D97" s="21" t="str">
        <x:v>2D/3D SFX</x:v>
      </x:c>
      <x:c r="E97" s="21" t="str">
        <x:v>Local and remote mix</x:v>
      </x:c>
      <x:c r="F97" s="27" t="str">
        <x:v>Required</x:v>
      </x:c>
      <x:c r="G97" s="27" t="str">
        <x:v>P2</x:v>
      </x:c>
      <x:c r="H97" s="27" t="str">
        <x:v>Not Started</x:v>
      </x:c>
      <x:c r="I97" s="27" t="str">
        <x:v>Audio</x:v>
      </x:c>
      <x:c r="J97" s="21" t="str">
        <x:v>48 kHz WAV + Wwise event</x:v>
      </x:c>
      <x:c r="K97" s="21" t="str">
        <x:v>Has clear gameplay timing, remote attenuation, and no collision with existing Globadier warning language.</x:v>
      </x:c>
      <x:c r="L97" s="21" t="str">
        <x:v>SRC-017: scripts/ui/hud_ui/ability_ui.lua and career_ability_bar_ui.lua; SRC-014: scripts/unit_extensions/generic/interactions.lua; SRC-022: vt2-pusfume-1p/docs/PUSFUME_CAREER_SPEC_V2.md</x:v>
      </x:c>
      <x:c r="M97" s="21" t="str"/>
    </x:row>
    <x:row r="98" ht="46" customHeight="1">
      <x:c r="A98" s="24" t="str">
        <x:v>AUD-094</x:v>
      </x:c>
      <x:c r="B98" s="21" t="str">
        <x:v>Career SFX</x:v>
      </x:c>
      <x:c r="C98" s="21" t="str">
        <x:v>Gas trap place</x:v>
      </x:c>
      <x:c r="D98" s="21" t="str">
        <x:v>2D/3D SFX</x:v>
      </x:c>
      <x:c r="E98" s="21" t="str">
        <x:v>Local and remote mix</x:v>
      </x:c>
      <x:c r="F98" s="27" t="str">
        <x:v>Required</x:v>
      </x:c>
      <x:c r="G98" s="27" t="str">
        <x:v>P1</x:v>
      </x:c>
      <x:c r="H98" s="27" t="str">
        <x:v>Not Started</x:v>
      </x:c>
      <x:c r="I98" s="27" t="str">
        <x:v>Audio</x:v>
      </x:c>
      <x:c r="J98" s="21" t="str">
        <x:v>48 kHz WAV + Wwise event</x:v>
      </x:c>
      <x:c r="K98" s="21" t="str">
        <x:v>Has clear gameplay timing, remote attenuation, and no collision with existing Globadier warning language.</x:v>
      </x:c>
      <x:c r="L98" s="21" t="str">
        <x:v>SRC-017: scripts/ui/hud_ui/ability_ui.lua and career_ability_bar_ui.lua; SRC-014: scripts/unit_extensions/generic/interactions.lua; SRC-022: vt2-pusfume-1p/docs/PUSFUME_CAREER_SPEC_V2.md</x:v>
      </x:c>
      <x:c r="M98" s="21" t="str"/>
    </x:row>
    <x:row r="99" ht="46" customHeight="1">
      <x:c r="A99" s="24" t="str">
        <x:v>AUD-095</x:v>
      </x:c>
      <x:c r="B99" s="21" t="str">
        <x:v>Career SFX</x:v>
      </x:c>
      <x:c r="C99" s="21" t="str">
        <x:v>Gas trap arm</x:v>
      </x:c>
      <x:c r="D99" s="21" t="str">
        <x:v>2D/3D SFX</x:v>
      </x:c>
      <x:c r="E99" s="21" t="str">
        <x:v>Local and remote mix</x:v>
      </x:c>
      <x:c r="F99" s="27" t="str">
        <x:v>Required</x:v>
      </x:c>
      <x:c r="G99" s="27" t="str">
        <x:v>P2</x:v>
      </x:c>
      <x:c r="H99" s="27" t="str">
        <x:v>Not Started</x:v>
      </x:c>
      <x:c r="I99" s="27" t="str">
        <x:v>Audio</x:v>
      </x:c>
      <x:c r="J99" s="21" t="str">
        <x:v>48 kHz WAV + Wwise event</x:v>
      </x:c>
      <x:c r="K99" s="21" t="str">
        <x:v>Has clear gameplay timing, remote attenuation, and no collision with existing Globadier warning language.</x:v>
      </x:c>
      <x:c r="L99" s="21" t="str">
        <x:v>SRC-017: scripts/ui/hud_ui/ability_ui.lua and career_ability_bar_ui.lua; SRC-014: scripts/unit_extensions/generic/interactions.lua; SRC-022: vt2-pusfume-1p/docs/PUSFUME_CAREER_SPEC_V2.md</x:v>
      </x:c>
      <x:c r="M99" s="21" t="str"/>
    </x:row>
    <x:row r="100" ht="46" customHeight="1">
      <x:c r="A100" s="24" t="str">
        <x:v>AUD-096</x:v>
      </x:c>
      <x:c r="B100" s="21" t="str">
        <x:v>Career SFX</x:v>
      </x:c>
      <x:c r="C100" s="21" t="str">
        <x:v>Gas trap trigger</x:v>
      </x:c>
      <x:c r="D100" s="21" t="str">
        <x:v>2D/3D SFX</x:v>
      </x:c>
      <x:c r="E100" s="21" t="str">
        <x:v>Local and remote mix</x:v>
      </x:c>
      <x:c r="F100" s="27" t="str">
        <x:v>Required</x:v>
      </x:c>
      <x:c r="G100" s="27" t="str">
        <x:v>P1</x:v>
      </x:c>
      <x:c r="H100" s="27" t="str">
        <x:v>Not Started</x:v>
      </x:c>
      <x:c r="I100" s="27" t="str">
        <x:v>Audio</x:v>
      </x:c>
      <x:c r="J100" s="21" t="str">
        <x:v>48 kHz WAV + Wwise event</x:v>
      </x:c>
      <x:c r="K100" s="21" t="str">
        <x:v>Has clear gameplay timing, remote attenuation, and no collision with existing Globadier warning language.</x:v>
      </x:c>
      <x:c r="L100" s="21" t="str">
        <x:v>SRC-017: scripts/ui/hud_ui/ability_ui.lua and career_ability_bar_ui.lua; SRC-014: scripts/unit_extensions/generic/interactions.lua; SRC-022: vt2-pusfume-1p/docs/PUSFUME_CAREER_SPEC_V2.md</x:v>
      </x:c>
      <x:c r="M100" s="21" t="str"/>
    </x:row>
    <x:row r="101" ht="46" customHeight="1">
      <x:c r="A101" s="24" t="str">
        <x:v>AUD-097</x:v>
      </x:c>
      <x:c r="B101" s="21" t="str">
        <x:v>Career SFX</x:v>
      </x:c>
      <x:c r="C101" s="21" t="str">
        <x:v>Gas release loop</x:v>
      </x:c>
      <x:c r="D101" s="21" t="str">
        <x:v>2D/3D SFX</x:v>
      </x:c>
      <x:c r="E101" s="21" t="str">
        <x:v>Local and remote mix</x:v>
      </x:c>
      <x:c r="F101" s="27" t="str">
        <x:v>Required</x:v>
      </x:c>
      <x:c r="G101" s="27" t="str">
        <x:v>P2</x:v>
      </x:c>
      <x:c r="H101" s="27" t="str">
        <x:v>Not Started</x:v>
      </x:c>
      <x:c r="I101" s="27" t="str">
        <x:v>Audio</x:v>
      </x:c>
      <x:c r="J101" s="21" t="str">
        <x:v>48 kHz WAV + Wwise event</x:v>
      </x:c>
      <x:c r="K101" s="21" t="str">
        <x:v>Has clear gameplay timing, remote attenuation, and no collision with existing Globadier warning language.</x:v>
      </x:c>
      <x:c r="L101" s="21" t="str">
        <x:v>SRC-017: scripts/ui/hud_ui/ability_ui.lua and career_ability_bar_ui.lua; SRC-014: scripts/unit_extensions/generic/interactions.lua; SRC-022: vt2-pusfume-1p/docs/PUSFUME_CAREER_SPEC_V2.md</x:v>
      </x:c>
      <x:c r="M101" s="21" t="str"/>
    </x:row>
    <x:row r="102" ht="46" customHeight="1">
      <x:c r="A102" s="24" t="str">
        <x:v>AUD-098</x:v>
      </x:c>
      <x:c r="B102" s="21" t="str">
        <x:v>Career SFX</x:v>
      </x:c>
      <x:c r="C102" s="21" t="str">
        <x:v>Gas dissipate</x:v>
      </x:c>
      <x:c r="D102" s="21" t="str">
        <x:v>2D/3D SFX</x:v>
      </x:c>
      <x:c r="E102" s="21" t="str">
        <x:v>Local and remote mix</x:v>
      </x:c>
      <x:c r="F102" s="27" t="str">
        <x:v>Required</x:v>
      </x:c>
      <x:c r="G102" s="27" t="str">
        <x:v>P2</x:v>
      </x:c>
      <x:c r="H102" s="27" t="str">
        <x:v>Not Started</x:v>
      </x:c>
      <x:c r="I102" s="27" t="str">
        <x:v>Audio</x:v>
      </x:c>
      <x:c r="J102" s="21" t="str">
        <x:v>48 kHz WAV + Wwise event</x:v>
      </x:c>
      <x:c r="K102" s="21" t="str">
        <x:v>Has clear gameplay timing, remote attenuation, and no collision with existing Globadier warning language.</x:v>
      </x:c>
      <x:c r="L102" s="21" t="str">
        <x:v>SRC-017: scripts/ui/hud_ui/ability_ui.lua and career_ability_bar_ui.lua; SRC-014: scripts/unit_extensions/generic/interactions.lua; SRC-022: vt2-pusfume-1p/docs/PUSFUME_CAREER_SPEC_V2.md</x:v>
      </x:c>
      <x:c r="M102" s="21" t="str"/>
    </x:row>
    <x:row r="103" ht="46" customHeight="1">
      <x:c r="A103" s="24" t="str">
        <x:v>AUD-099</x:v>
      </x:c>
      <x:c r="B103" s="21" t="str">
        <x:v>Career SFX</x:v>
      </x:c>
      <x:c r="C103" s="21" t="str">
        <x:v>Ability cooldown ready</x:v>
      </x:c>
      <x:c r="D103" s="21" t="str">
        <x:v>2D/3D SFX</x:v>
      </x:c>
      <x:c r="E103" s="21" t="str">
        <x:v>Local and remote mix</x:v>
      </x:c>
      <x:c r="F103" s="27" t="str">
        <x:v>Required</x:v>
      </x:c>
      <x:c r="G103" s="27" t="str">
        <x:v>P2</x:v>
      </x:c>
      <x:c r="H103" s="27" t="str">
        <x:v>Not Started</x:v>
      </x:c>
      <x:c r="I103" s="27" t="str">
        <x:v>Audio</x:v>
      </x:c>
      <x:c r="J103" s="21" t="str">
        <x:v>48 kHz WAV + Wwise event</x:v>
      </x:c>
      <x:c r="K103" s="21" t="str">
        <x:v>Has clear gameplay timing, remote attenuation, and no collision with existing Globadier warning language.</x:v>
      </x:c>
      <x:c r="L103" s="21" t="str">
        <x:v>SRC-017: scripts/ui/hud_ui/ability_ui.lua and career_ability_bar_ui.lua; SRC-014: scripts/unit_extensions/generic/interactions.lua; SRC-022: vt2-pusfume-1p/docs/PUSFUME_CAREER_SPEC_V2.md</x:v>
      </x:c>
      <x:c r="M103" s="21" t="str"/>
    </x:row>
    <x:row r="104" ht="46" customHeight="1">
      <x:c r="A104" s="24" t="str">
        <x:v>AUD-100</x:v>
      </x:c>
      <x:c r="B104" s="21" t="str">
        <x:v>Career SFX</x:v>
      </x:c>
      <x:c r="C104" s="21" t="str">
        <x:v>Quest progress stinger</x:v>
      </x:c>
      <x:c r="D104" s="21" t="str">
        <x:v>2D/3D SFX</x:v>
      </x:c>
      <x:c r="E104" s="21" t="str">
        <x:v>Local and remote mix</x:v>
      </x:c>
      <x:c r="F104" s="27" t="str">
        <x:v>Required</x:v>
      </x:c>
      <x:c r="G104" s="27" t="str">
        <x:v>P2</x:v>
      </x:c>
      <x:c r="H104" s="27" t="str">
        <x:v>Not Started</x:v>
      </x:c>
      <x:c r="I104" s="27" t="str">
        <x:v>Audio</x:v>
      </x:c>
      <x:c r="J104" s="21" t="str">
        <x:v>48 kHz WAV + Wwise event</x:v>
      </x:c>
      <x:c r="K104" s="21" t="str">
        <x:v>Has clear gameplay timing, remote attenuation, and no collision with existing Globadier warning language.</x:v>
      </x:c>
      <x:c r="L104" s="21" t="str">
        <x:v>SRC-017: scripts/ui/hud_ui/ability_ui.lua and career_ability_bar_ui.lua; SRC-014: scripts/unit_extensions/generic/interactions.lua; SRC-022: vt2-pusfume-1p/docs/PUSFUME_CAREER_SPEC_V2.md</x:v>
      </x:c>
      <x:c r="M104" s="21" t="str"/>
    </x:row>
    <x:row r="105" ht="46" customHeight="1">
      <x:c r="A105" s="25" t="str">
        <x:v>AUD-101</x:v>
      </x:c>
      <x:c r="B105" s="22" t="str">
        <x:v>Career SFX</x:v>
      </x:c>
      <x:c r="C105" s="22" t="str">
        <x:v>Quest complete stinger</x:v>
      </x:c>
      <x:c r="D105" s="22" t="str">
        <x:v>2D/3D SFX</x:v>
      </x:c>
      <x:c r="E105" s="22" t="str">
        <x:v>Local and remote mix</x:v>
      </x:c>
      <x:c r="F105" s="28" t="str">
        <x:v>Required</x:v>
      </x:c>
      <x:c r="G105" s="28" t="str">
        <x:v>P2</x:v>
      </x:c>
      <x:c r="H105" s="28" t="str">
        <x:v>Not Started</x:v>
      </x:c>
      <x:c r="I105" s="28" t="str">
        <x:v>Audio</x:v>
      </x:c>
      <x:c r="J105" s="22" t="str">
        <x:v>48 kHz WAV + Wwise event</x:v>
      </x:c>
      <x:c r="K105" s="22" t="str">
        <x:v>Has clear gameplay timing, remote attenuation, and no collision with existing Globadier warning language.</x:v>
      </x:c>
      <x:c r="L105" s="22" t="str">
        <x:v>SRC-017: scripts/ui/hud_ui/ability_ui.lua and career_ability_bar_ui.lua; SRC-014: scripts/unit_extensions/generic/interactions.lua; SRC-022: vt2-pusfume-1p/docs/PUSFUME_CAREER_SPEC_V2.md</x:v>
      </x:c>
      <x:c r="M105" s="22" t="str"/>
    </x:row>
  </x:sheetData>
  <x:mergeCells>
    <x:mergeCell ref="A1:M1"/>
    <x:mergeCell ref="A2:M2"/>
  </x:mergeCells>
  <x:conditionalFormatting sqref="H5:H105">
    <x:cfRule type="containsText" dxfId="24" priority="1" operator="containsText" text="Complete"/>
    <x:cfRule type="containsText" dxfId="25" priority="2" operator="containsText" text="In Progress"/>
    <x:cfRule type="containsText" dxfId="26" priority="3" operator="containsText" text="Prototype Ready"/>
    <x:cfRule type="containsText" dxfId="27" priority="4" operator="containsText" text="Blocked"/>
  </x:conditionalFormatting>
  <x:conditionalFormatting sqref="G5:G105">
    <x:cfRule type="containsText" dxfId="28" priority="5" operator="containsText" text="P0"/>
    <x:cfRule type="containsText" dxfId="29" priority="6" operator="containsText" text="P1"/>
  </x:conditionalFormatting>
  <x:dataValidations count="4">
    <x:dataValidation type="list" sqref="F5:F105">
      <x:formula1>"Required,Optional,Conditional"</x:formula1>
    </x:dataValidation>
    <x:dataValidation type="list" sqref="G5:G105">
      <x:formula1>"P0,P1,P2,P3"</x:formula1>
    </x:dataValidation>
    <x:dataValidation type="list" sqref="H5:H105">
      <x:formula1>"Not Started,In Progress,Ready for Review,Prototype Ready,Blocked,Complete,Not Applicable"</x:formula1>
    </x:dataValidation>
    <x:dataValidation type="list" sqref="I5:I105">
      <x:formula1>"Janfon,Engineering,Audio,VFX,Design,QA,Janfon + Engineering,Unassigned"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b5fe0432b546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6" hidden="0" customWidth="1"/>
    <x:col min="5" max="5" width="25" hidden="0" customWidth="1"/>
    <x:col min="6" max="6" width="14" hidden="0" customWidth="1"/>
    <x:col min="7" max="7" width="12" hidden="0" customWidth="1"/>
    <x:col min="8" max="8" width="19" hidden="0" customWidth="1"/>
    <x:col min="9" max="9" width="20" hidden="0" customWidth="1"/>
    <x:col min="10" max="10" width="31" hidden="0" customWidth="1"/>
    <x:col min="11" max="11" width="58" hidden="0" customWidth="1"/>
    <x:col min="12" max="12" width="58" hidden="0" customWidth="1"/>
    <x:col min="13" max="13" width="44" hidden="0" customWidth="1"/>
  </x:cols>
  <x:sheetData>
    <x:row r="1" ht="34" customHeight="1">
      <x:c r="A1" s="3" t="str">
        <x:v>VFX &amp; Gameplay Assets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Career-skill effects, props, gas readability, buffs, quests, networking, bot behavior, interaction, and gameplay integration contracts.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ID</x:v>
      </x:c>
      <x:c r="B4" s="12" t="str">
        <x:v>Workstream</x:v>
      </x:c>
      <x:c r="C4" s="12" t="str">
        <x:v>Asset / Motion</x:v>
      </x:c>
      <x:c r="D4" s="12" t="str">
        <x:v>Perspective</x:v>
      </x:c>
      <x:c r="E4" s="12" t="str">
        <x:v>Variant / Direction</x:v>
      </x:c>
      <x:c r="F4" s="12" t="str">
        <x:v>Requirement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Deliverable / Format</x:v>
      </x:c>
      <x:c r="K4" s="12" t="str">
        <x:v>Acceptance Criteria</x:v>
      </x:c>
      <x:c r="L4" s="12" t="str">
        <x:v>VT2 Source Reference</x:v>
      </x:c>
      <x:c r="M4" s="12" t="str">
        <x:v>Notes</x:v>
      </x:c>
    </x:row>
    <x:row r="5" ht="46" customHeight="1">
      <x:c r="A5" s="23" t="str">
        <x:v>VFX-001</x:v>
      </x:c>
      <x:c r="B5" s="20" t="str">
        <x:v>VFX</x:v>
      </x:c>
      <x:c r="C5" s="20" t="str">
        <x:v>Skaven Ingenuity bag: Placement ghost</x:v>
      </x:c>
      <x:c r="D5" s="20" t="str">
        <x:v>First/third/world</x:v>
      </x:c>
      <x:c r="E5" s="20" t="str">
        <x:v>Valid/invalid ground</x:v>
      </x:c>
      <x:c r="F5" s="26" t="str">
        <x:v>Required</x:v>
      </x:c>
      <x:c r="G5" s="26" t="str">
        <x:v>P0</x:v>
      </x:c>
      <x:c r="H5" s="26" t="str">
        <x:v>Not Started</x:v>
      </x:c>
      <x:c r="I5" s="26" t="str">
        <x:v>VFX</x:v>
      </x:c>
      <x:c r="J5" s="20" t="str">
        <x:v>Particle/material/light asset + event binding</x:v>
      </x:c>
      <x:c r="K5" s="20" t="str">
        <x:v>Readable in bright and dark maps, colorblind-safe, bounded for performance, and synchronized for remote clients.</x:v>
      </x:c>
      <x:c r="L5" s="20" t="str">
        <x:v>SRC-022: vt2-pusfume-1p/docs/PUSFUME_CAREER_SPEC_V2.md; SRC-017: scripts/ui/hud_ui/ability_ui.lua and career_ability_bar_ui.lua; SRC-014: scripts/unit_extensions/generic/interactions.lua</x:v>
      </x:c>
      <x:c r="M5" s="20" t="str"/>
    </x:row>
    <x:row r="6" ht="46" customHeight="1">
      <x:c r="A6" s="24" t="str">
        <x:v>VFX-002</x:v>
      </x:c>
      <x:c r="B6" s="21" t="str">
        <x:v>VFX</x:v>
      </x:c>
      <x:c r="C6" s="21" t="str">
        <x:v>Skaven Ingenuity bag: Deploy burst</x:v>
      </x:c>
      <x:c r="D6" s="21" t="str">
        <x:v>First/third/world</x:v>
      </x:c>
      <x:c r="E6" s="21" t="str">
        <x:v>Placement event</x:v>
      </x:c>
      <x:c r="F6" s="27" t="str">
        <x:v>Required</x:v>
      </x:c>
      <x:c r="G6" s="27" t="str">
        <x:v>P0</x:v>
      </x:c>
      <x:c r="H6" s="27" t="str">
        <x:v>Not Started</x:v>
      </x:c>
      <x:c r="I6" s="27" t="str">
        <x:v>VFX</x:v>
      </x:c>
      <x:c r="J6" s="21" t="str">
        <x:v>Particle/material/light asset + event binding</x:v>
      </x:c>
      <x:c r="K6" s="21" t="str">
        <x:v>Readable in bright and dark maps, colorblind-safe, bounded for performance, and synchronized for remote clients.</x:v>
      </x:c>
      <x:c r="L6" s="21" t="str">
        <x:v>SRC-022: vt2-pusfume-1p/docs/PUSFUME_CAREER_SPEC_V2.md; SRC-017: scripts/ui/hud_ui/ability_ui.lua and career_ability_bar_ui.lua; SRC-014: scripts/unit_extensions/generic/interactions.lua</x:v>
      </x:c>
      <x:c r="M6" s="21" t="str"/>
    </x:row>
    <x:row r="7" ht="46" customHeight="1">
      <x:c r="A7" s="24" t="str">
        <x:v>VFX-003</x:v>
      </x:c>
      <x:c r="B7" s="21" t="str">
        <x:v>VFX</x:v>
      </x:c>
      <x:c r="C7" s="21" t="str">
        <x:v>Skaven Ingenuity bag: Idle active effect</x:v>
      </x:c>
      <x:c r="D7" s="21" t="str">
        <x:v>First/third/world</x:v>
      </x:c>
      <x:c r="E7" s="21" t="str">
        <x:v>Available</x:v>
      </x:c>
      <x:c r="F7" s="27" t="str">
        <x:v>Required</x:v>
      </x:c>
      <x:c r="G7" s="27" t="str">
        <x:v>P0</x:v>
      </x:c>
      <x:c r="H7" s="27" t="str">
        <x:v>Not Started</x:v>
      </x:c>
      <x:c r="I7" s="27" t="str">
        <x:v>VFX</x:v>
      </x:c>
      <x:c r="J7" s="21" t="str">
        <x:v>Particle/material/light asset + event binding</x:v>
      </x:c>
      <x:c r="K7" s="21" t="str">
        <x:v>Readable in bright and dark maps, colorblind-safe, bounded for performance, and synchronized for remote clients.</x:v>
      </x:c>
      <x:c r="L7" s="21" t="str">
        <x:v>SRC-022: vt2-pusfume-1p/docs/PUSFUME_CAREER_SPEC_V2.md; SRC-017: scripts/ui/hud_ui/ability_ui.lua and career_ability_bar_ui.lua; SRC-014: scripts/unit_extensions/generic/interactions.lua</x:v>
      </x:c>
      <x:c r="M7" s="21" t="str"/>
    </x:row>
    <x:row r="8" ht="46" customHeight="1">
      <x:c r="A8" s="24" t="str">
        <x:v>VFX-004</x:v>
      </x:c>
      <x:c r="B8" s="21" t="str">
        <x:v>VFX</x:v>
      </x:c>
      <x:c r="C8" s="21" t="str">
        <x:v>Skaven Ingenuity bag: Cooldown/inactive effect</x:v>
      </x:c>
      <x:c r="D8" s="21" t="str">
        <x:v>First/third/world</x:v>
      </x:c>
      <x:c r="E8" s="21" t="str">
        <x:v>Unavailable</x:v>
      </x:c>
      <x:c r="F8" s="27" t="str">
        <x:v>Required</x:v>
      </x:c>
      <x:c r="G8" s="27" t="str">
        <x:v>P0</x:v>
      </x:c>
      <x:c r="H8" s="27" t="str">
        <x:v>Not Started</x:v>
      </x:c>
      <x:c r="I8" s="27" t="str">
        <x:v>VFX</x:v>
      </x:c>
      <x:c r="J8" s="21" t="str">
        <x:v>Particle/material/light asset + event binding</x:v>
      </x:c>
      <x:c r="K8" s="21" t="str">
        <x:v>Readable in bright and dark maps, colorblind-safe, bounded for performance, and synchronized for remote clients.</x:v>
      </x:c>
      <x:c r="L8" s="21" t="str">
        <x:v>SRC-022: vt2-pusfume-1p/docs/PUSFUME_CAREER_SPEC_V2.md; SRC-017: scripts/ui/hud_ui/ability_ui.lua and career_ability_bar_ui.lua; SRC-014: scripts/unit_extensions/generic/interactions.lua</x:v>
      </x:c>
      <x:c r="M8" s="21" t="str"/>
    </x:row>
    <x:row r="9" ht="46" customHeight="1">
      <x:c r="A9" s="24" t="str">
        <x:v>VFX-005</x:v>
      </x:c>
      <x:c r="B9" s="21" t="str">
        <x:v>VFX</x:v>
      </x:c>
      <x:c r="C9" s="21" t="str">
        <x:v>Skaven Ingenuity bag: Interaction beam/highlight</x:v>
      </x:c>
      <x:c r="D9" s="21" t="str">
        <x:v>First/third/world</x:v>
      </x:c>
      <x:c r="E9" s="21" t="str">
        <x:v>User targeting</x:v>
      </x:c>
      <x:c r="F9" s="27" t="str">
        <x:v>Required</x:v>
      </x:c>
      <x:c r="G9" s="27" t="str">
        <x:v>P0</x:v>
      </x:c>
      <x:c r="H9" s="27" t="str">
        <x:v>Not Started</x:v>
      </x:c>
      <x:c r="I9" s="27" t="str">
        <x:v>VFX</x:v>
      </x:c>
      <x:c r="J9" s="21" t="str">
        <x:v>Particle/material/light asset + event binding</x:v>
      </x:c>
      <x:c r="K9" s="21" t="str">
        <x:v>Readable in bright and dark maps, colorblind-safe, bounded for performance, and synchronized for remote clients.</x:v>
      </x:c>
      <x:c r="L9" s="21" t="str">
        <x:v>SRC-022: vt2-pusfume-1p/docs/PUSFUME_CAREER_SPEC_V2.md; SRC-017: scripts/ui/hud_ui/ability_ui.lua and career_ability_bar_ui.lua; SRC-014: scripts/unit_extensions/generic/interactions.lua</x:v>
      </x:c>
      <x:c r="M9" s="21" t="str"/>
    </x:row>
    <x:row r="10" ht="46" customHeight="1">
      <x:c r="A10" s="24" t="str">
        <x:v>VFX-006</x:v>
      </x:c>
      <x:c r="B10" s="21" t="str">
        <x:v>VFX</x:v>
      </x:c>
      <x:c r="C10" s="21" t="str">
        <x:v>Skaven Ingenuity bag: Despawn/pickup</x:v>
      </x:c>
      <x:c r="D10" s="21" t="str">
        <x:v>First/third/world</x:v>
      </x:c>
      <x:c r="E10" s="21" t="str">
        <x:v>End state</x:v>
      </x:c>
      <x:c r="F10" s="27" t="str">
        <x:v>Required</x:v>
      </x:c>
      <x:c r="G10" s="27" t="str">
        <x:v>P0</x:v>
      </x:c>
      <x:c r="H10" s="27" t="str">
        <x:v>Not Started</x:v>
      </x:c>
      <x:c r="I10" s="27" t="str">
        <x:v>VFX</x:v>
      </x:c>
      <x:c r="J10" s="21" t="str">
        <x:v>Particle/material/light asset + event binding</x:v>
      </x:c>
      <x:c r="K10" s="21" t="str">
        <x:v>Readable in bright and dark maps, colorblind-safe, bounded for performance, and synchronized for remote clients.</x:v>
      </x:c>
      <x:c r="L10" s="21" t="str">
        <x:v>SRC-022: vt2-pusfume-1p/docs/PUSFUME_CAREER_SPEC_V2.md; SRC-017: scripts/ui/hud_ui/ability_ui.lua and career_ability_bar_ui.lua; SRC-014: scripts/unit_extensions/generic/interactions.lua</x:v>
      </x:c>
      <x:c r="M10" s="21" t="str"/>
    </x:row>
    <x:row r="11" ht="46" customHeight="1">
      <x:c r="A11" s="24" t="str">
        <x:v>VFX-007</x:v>
      </x:c>
      <x:c r="B11" s="21" t="str">
        <x:v>VFX</x:v>
      </x:c>
      <x:c r="C11" s="21" t="str">
        <x:v>Potion enchant: Processing effect</x:v>
      </x:c>
      <x:c r="D11" s="21" t="str">
        <x:v>First/third/world</x:v>
      </x:c>
      <x:c r="E11" s="21" t="str">
        <x:v>Held potion</x:v>
      </x:c>
      <x:c r="F11" s="27" t="str">
        <x:v>Required</x:v>
      </x:c>
      <x:c r="G11" s="27" t="str">
        <x:v>P1</x:v>
      </x:c>
      <x:c r="H11" s="27" t="str">
        <x:v>Not Started</x:v>
      </x:c>
      <x:c r="I11" s="27" t="str">
        <x:v>VFX</x:v>
      </x:c>
      <x:c r="J11" s="21" t="str">
        <x:v>Particle/material/light asset + event binding</x:v>
      </x:c>
      <x:c r="K11" s="21" t="str">
        <x:v>Readable in bright and dark maps, colorblind-safe, bounded for performance, and synchronized for remote clients.</x:v>
      </x:c>
      <x:c r="L11" s="21" t="str">
        <x:v>SRC-022: vt2-pusfume-1p/docs/PUSFUME_CAREER_SPEC_V2.md; SRC-017: scripts/ui/hud_ui/ability_ui.lua and career_ability_bar_ui.lua; SRC-014: scripts/unit_extensions/generic/interactions.lua</x:v>
      </x:c>
      <x:c r="M11" s="21" t="str"/>
    </x:row>
    <x:row r="12" ht="46" customHeight="1">
      <x:c r="A12" s="24" t="str">
        <x:v>VFX-008</x:v>
      </x:c>
      <x:c r="B12" s="21" t="str">
        <x:v>VFX</x:v>
      </x:c>
      <x:c r="C12" s="21" t="str">
        <x:v>Potion enchant: Success effect</x:v>
      </x:c>
      <x:c r="D12" s="21" t="str">
        <x:v>First/third/world</x:v>
      </x:c>
      <x:c r="E12" s="21" t="str">
        <x:v>Inventory update</x:v>
      </x:c>
      <x:c r="F12" s="27" t="str">
        <x:v>Required</x:v>
      </x:c>
      <x:c r="G12" s="27" t="str">
        <x:v>P1</x:v>
      </x:c>
      <x:c r="H12" s="27" t="str">
        <x:v>Not Started</x:v>
      </x:c>
      <x:c r="I12" s="27" t="str">
        <x:v>VFX</x:v>
      </x:c>
      <x:c r="J12" s="21" t="str">
        <x:v>Particle/material/light asset + event binding</x:v>
      </x:c>
      <x:c r="K12" s="21" t="str">
        <x:v>Readable in bright and dark maps, colorblind-safe, bounded for performance, and synchronized for remote clients.</x:v>
      </x:c>
      <x:c r="L12" s="21" t="str">
        <x:v>SRC-022: vt2-pusfume-1p/docs/PUSFUME_CAREER_SPEC_V2.md; SRC-017: scripts/ui/hud_ui/ability_ui.lua and career_ability_bar_ui.lua; SRC-014: scripts/unit_extensions/generic/interactions.lua</x:v>
      </x:c>
      <x:c r="M12" s="21" t="str"/>
    </x:row>
    <x:row r="13" ht="46" customHeight="1">
      <x:c r="A13" s="24" t="str">
        <x:v>VFX-009</x:v>
      </x:c>
      <x:c r="B13" s="21" t="str">
        <x:v>VFX</x:v>
      </x:c>
      <x:c r="C13" s="21" t="str">
        <x:v>Potion enchant: Failure effect</x:v>
      </x:c>
      <x:c r="D13" s="21" t="str">
        <x:v>First/third/world</x:v>
      </x:c>
      <x:c r="E13" s="21" t="str">
        <x:v>Invalid inventory</x:v>
      </x:c>
      <x:c r="F13" s="27" t="str">
        <x:v>Required</x:v>
      </x:c>
      <x:c r="G13" s="27" t="str">
        <x:v>P1</x:v>
      </x:c>
      <x:c r="H13" s="27" t="str">
        <x:v>Not Started</x:v>
      </x:c>
      <x:c r="I13" s="27" t="str">
        <x:v>VFX</x:v>
      </x:c>
      <x:c r="J13" s="21" t="str">
        <x:v>Particle/material/light asset + event binding</x:v>
      </x:c>
      <x:c r="K13" s="21" t="str">
        <x:v>Readable in bright and dark maps, colorblind-safe, bounded for performance, and synchronized for remote clients.</x:v>
      </x:c>
      <x:c r="L13" s="21" t="str">
        <x:v>SRC-022: vt2-pusfume-1p/docs/PUSFUME_CAREER_SPEC_V2.md; SRC-017: scripts/ui/hud_ui/ability_ui.lua and career_ability_bar_ui.lua; SRC-014: scripts/unit_extensions/generic/interactions.lua</x:v>
      </x:c>
      <x:c r="M13" s="21" t="str"/>
    </x:row>
    <x:row r="14" ht="46" customHeight="1">
      <x:c r="A14" s="24" t="str">
        <x:v>VFX-010</x:v>
      </x:c>
      <x:c r="B14" s="21" t="str">
        <x:v>VFX</x:v>
      </x:c>
      <x:c r="C14" s="21" t="str">
        <x:v>Gas bomb: Upgrade effect</x:v>
      </x:c>
      <x:c r="D14" s="21" t="str">
        <x:v>First/third/world</x:v>
      </x:c>
      <x:c r="E14" s="21" t="str">
        <x:v>Bomb conversion</x:v>
      </x:c>
      <x:c r="F14" s="27" t="str">
        <x:v>Required</x:v>
      </x:c>
      <x:c r="G14" s="27" t="str">
        <x:v>P1</x:v>
      </x:c>
      <x:c r="H14" s="27" t="str">
        <x:v>Not Started</x:v>
      </x:c>
      <x:c r="I14" s="27" t="str">
        <x:v>VFX</x:v>
      </x:c>
      <x:c r="J14" s="21" t="str">
        <x:v>Particle/material/light asset + event binding</x:v>
      </x:c>
      <x:c r="K14" s="21" t="str">
        <x:v>Readable in bright and dark maps, colorblind-safe, bounded for performance, and synchronized for remote clients.</x:v>
      </x:c>
      <x:c r="L14" s="21" t="str">
        <x:v>SRC-022: vt2-pusfume-1p/docs/PUSFUME_CAREER_SPEC_V2.md; SRC-017: scripts/ui/hud_ui/ability_ui.lua and career_ability_bar_ui.lua; SRC-014: scripts/unit_extensions/generic/interactions.lua</x:v>
      </x:c>
      <x:c r="M14" s="21" t="str"/>
    </x:row>
    <x:row r="15" ht="46" customHeight="1">
      <x:c r="A15" s="24" t="str">
        <x:v>VFX-011</x:v>
      </x:c>
      <x:c r="B15" s="21" t="str">
        <x:v>VFX</x:v>
      </x:c>
      <x:c r="C15" s="21" t="str">
        <x:v>Gas bomb: Projectile trail</x:v>
      </x:c>
      <x:c r="D15" s="21" t="str">
        <x:v>First/third/world</x:v>
      </x:c>
      <x:c r="E15" s="21" t="str">
        <x:v>Thrown</x:v>
      </x:c>
      <x:c r="F15" s="27" t="str">
        <x:v>Required</x:v>
      </x:c>
      <x:c r="G15" s="27" t="str">
        <x:v>P1</x:v>
      </x:c>
      <x:c r="H15" s="27" t="str">
        <x:v>Not Started</x:v>
      </x:c>
      <x:c r="I15" s="27" t="str">
        <x:v>VFX</x:v>
      </x:c>
      <x:c r="J15" s="21" t="str">
        <x:v>Particle/material/light asset + event binding</x:v>
      </x:c>
      <x:c r="K15" s="21" t="str">
        <x:v>Readable in bright and dark maps, colorblind-safe, bounded for performance, and synchronized for remote clients.</x:v>
      </x:c>
      <x:c r="L15" s="21" t="str">
        <x:v>SRC-022: vt2-pusfume-1p/docs/PUSFUME_CAREER_SPEC_V2.md; SRC-017: scripts/ui/hud_ui/ability_ui.lua and career_ability_bar_ui.lua; SRC-014: scripts/unit_extensions/generic/interactions.lua</x:v>
      </x:c>
      <x:c r="M15" s="21" t="str"/>
    </x:row>
    <x:row r="16" ht="46" customHeight="1">
      <x:c r="A16" s="24" t="str">
        <x:v>VFX-012</x:v>
      </x:c>
      <x:c r="B16" s="21" t="str">
        <x:v>VFX</x:v>
      </x:c>
      <x:c r="C16" s="21" t="str">
        <x:v>Gas bomb: Impact burst</x:v>
      </x:c>
      <x:c r="D16" s="21" t="str">
        <x:v>First/third/world</x:v>
      </x:c>
      <x:c r="E16" s="21" t="str">
        <x:v>Detonation</x:v>
      </x:c>
      <x:c r="F16" s="27" t="str">
        <x:v>Required</x:v>
      </x:c>
      <x:c r="G16" s="27" t="str">
        <x:v>P1</x:v>
      </x:c>
      <x:c r="H16" s="27" t="str">
        <x:v>Not Started</x:v>
      </x:c>
      <x:c r="I16" s="27" t="str">
        <x:v>VFX</x:v>
      </x:c>
      <x:c r="J16" s="21" t="str">
        <x:v>Particle/material/light asset + event binding</x:v>
      </x:c>
      <x:c r="K16" s="21" t="str">
        <x:v>Readable in bright and dark maps, colorblind-safe, bounded for performance, and synchronized for remote clients.</x:v>
      </x:c>
      <x:c r="L16" s="21" t="str">
        <x:v>SRC-022: vt2-pusfume-1p/docs/PUSFUME_CAREER_SPEC_V2.md; SRC-017: scripts/ui/hud_ui/ability_ui.lua and career_ability_bar_ui.lua; SRC-014: scripts/unit_extensions/generic/interactions.lua</x:v>
      </x:c>
      <x:c r="M16" s="21" t="str"/>
    </x:row>
    <x:row r="17" ht="46" customHeight="1">
      <x:c r="A17" s="24" t="str">
        <x:v>VFX-013</x:v>
      </x:c>
      <x:c r="B17" s="21" t="str">
        <x:v>VFX</x:v>
      </x:c>
      <x:c r="C17" s="21" t="str">
        <x:v>Gas bomb: Poison cloud</x:v>
      </x:c>
      <x:c r="D17" s="21" t="str">
        <x:v>First/third/world</x:v>
      </x:c>
      <x:c r="E17" s="21" t="str">
        <x:v>Area lifetime</x:v>
      </x:c>
      <x:c r="F17" s="27" t="str">
        <x:v>Required</x:v>
      </x:c>
      <x:c r="G17" s="27" t="str">
        <x:v>P0</x:v>
      </x:c>
      <x:c r="H17" s="27" t="str">
        <x:v>Not Started</x:v>
      </x:c>
      <x:c r="I17" s="27" t="str">
        <x:v>VFX</x:v>
      </x:c>
      <x:c r="J17" s="21" t="str">
        <x:v>Particle/material/light asset + event binding</x:v>
      </x:c>
      <x:c r="K17" s="21" t="str">
        <x:v>Readable in bright and dark maps, colorblind-safe, bounded for performance, and synchronized for remote clients.</x:v>
      </x:c>
      <x:c r="L17" s="21" t="str">
        <x:v>SRC-022: vt2-pusfume-1p/docs/PUSFUME_CAREER_SPEC_V2.md; SRC-017: scripts/ui/hud_ui/ability_ui.lua and career_ability_bar_ui.lua; SRC-014: scripts/unit_extensions/generic/interactions.lua</x:v>
      </x:c>
      <x:c r="M17" s="21" t="str"/>
    </x:row>
    <x:row r="18" ht="46" customHeight="1">
      <x:c r="A18" s="24" t="str">
        <x:v>VFX-014</x:v>
      </x:c>
      <x:c r="B18" s="21" t="str">
        <x:v>VFX</x:v>
      </x:c>
      <x:c r="C18" s="21" t="str">
        <x:v>Gas bomb: Cloud edge/readability</x:v>
      </x:c>
      <x:c r="D18" s="21" t="str">
        <x:v>First/third/world</x:v>
      </x:c>
      <x:c r="E18" s="21" t="str">
        <x:v>Team-safe telegraph</x:v>
      </x:c>
      <x:c r="F18" s="27" t="str">
        <x:v>Required</x:v>
      </x:c>
      <x:c r="G18" s="27" t="str">
        <x:v>P1</x:v>
      </x:c>
      <x:c r="H18" s="27" t="str">
        <x:v>Not Started</x:v>
      </x:c>
      <x:c r="I18" s="27" t="str">
        <x:v>VFX</x:v>
      </x:c>
      <x:c r="J18" s="21" t="str">
        <x:v>Particle/material/light asset + event binding</x:v>
      </x:c>
      <x:c r="K18" s="21" t="str">
        <x:v>Readable in bright and dark maps, colorblind-safe, bounded for performance, and synchronized for remote clients.</x:v>
      </x:c>
      <x:c r="L18" s="21" t="str">
        <x:v>SRC-022: vt2-pusfume-1p/docs/PUSFUME_CAREER_SPEC_V2.md; SRC-017: scripts/ui/hud_ui/ability_ui.lua and career_ability_bar_ui.lua; SRC-014: scripts/unit_extensions/generic/interactions.lua</x:v>
      </x:c>
      <x:c r="M18" s="21" t="str"/>
    </x:row>
    <x:row r="19" ht="46" customHeight="1">
      <x:c r="A19" s="24" t="str">
        <x:v>VFX-015</x:v>
      </x:c>
      <x:c r="B19" s="21" t="str">
        <x:v>VFX</x:v>
      </x:c>
      <x:c r="C19" s="21" t="str">
        <x:v>Gas trap: Placement ghost</x:v>
      </x:c>
      <x:c r="D19" s="21" t="str">
        <x:v>First/third/world</x:v>
      </x:c>
      <x:c r="E19" s="21" t="str">
        <x:v>Valid/invalid</x:v>
      </x:c>
      <x:c r="F19" s="27" t="str">
        <x:v>Required</x:v>
      </x:c>
      <x:c r="G19" s="27" t="str">
        <x:v>P1</x:v>
      </x:c>
      <x:c r="H19" s="27" t="str">
        <x:v>Not Started</x:v>
      </x:c>
      <x:c r="I19" s="27" t="str">
        <x:v>VFX</x:v>
      </x:c>
      <x:c r="J19" s="21" t="str">
        <x:v>Particle/material/light asset + event binding</x:v>
      </x:c>
      <x:c r="K19" s="21" t="str">
        <x:v>Readable in bright and dark maps, colorblind-safe, bounded for performance, and synchronized for remote clients.</x:v>
      </x:c>
      <x:c r="L19" s="21" t="str">
        <x:v>SRC-022: vt2-pusfume-1p/docs/PUSFUME_CAREER_SPEC_V2.md; SRC-017: scripts/ui/hud_ui/ability_ui.lua and career_ability_bar_ui.lua; SRC-014: scripts/unit_extensions/generic/interactions.lua</x:v>
      </x:c>
      <x:c r="M19" s="21" t="str"/>
    </x:row>
    <x:row r="20" ht="46" customHeight="1">
      <x:c r="A20" s="24" t="str">
        <x:v>VFX-016</x:v>
      </x:c>
      <x:c r="B20" s="21" t="str">
        <x:v>VFX</x:v>
      </x:c>
      <x:c r="C20" s="21" t="str">
        <x:v>Gas trap: Armed indicator</x:v>
      </x:c>
      <x:c r="D20" s="21" t="str">
        <x:v>First/third/world</x:v>
      </x:c>
      <x:c r="E20" s="21" t="str">
        <x:v>Owner/team</x:v>
      </x:c>
      <x:c r="F20" s="27" t="str">
        <x:v>Required</x:v>
      </x:c>
      <x:c r="G20" s="27" t="str">
        <x:v>P1</x:v>
      </x:c>
      <x:c r="H20" s="27" t="str">
        <x:v>Not Started</x:v>
      </x:c>
      <x:c r="I20" s="27" t="str">
        <x:v>VFX</x:v>
      </x:c>
      <x:c r="J20" s="21" t="str">
        <x:v>Particle/material/light asset + event binding</x:v>
      </x:c>
      <x:c r="K20" s="21" t="str">
        <x:v>Readable in bright and dark maps, colorblind-safe, bounded for performance, and synchronized for remote clients.</x:v>
      </x:c>
      <x:c r="L20" s="21" t="str">
        <x:v>SRC-022: vt2-pusfume-1p/docs/PUSFUME_CAREER_SPEC_V2.md; SRC-017: scripts/ui/hud_ui/ability_ui.lua and career_ability_bar_ui.lua; SRC-014: scripts/unit_extensions/generic/interactions.lua</x:v>
      </x:c>
      <x:c r="M20" s="21" t="str"/>
    </x:row>
    <x:row r="21" ht="46" customHeight="1">
      <x:c r="A21" s="24" t="str">
        <x:v>VFX-017</x:v>
      </x:c>
      <x:c r="B21" s="21" t="str">
        <x:v>VFX</x:v>
      </x:c>
      <x:c r="C21" s="21" t="str">
        <x:v>Gas trap: Trigger flash</x:v>
      </x:c>
      <x:c r="D21" s="21" t="str">
        <x:v>First/third/world</x:v>
      </x:c>
      <x:c r="E21" s="21" t="str">
        <x:v>Activation</x:v>
      </x:c>
      <x:c r="F21" s="27" t="str">
        <x:v>Required</x:v>
      </x:c>
      <x:c r="G21" s="27" t="str">
        <x:v>P1</x:v>
      </x:c>
      <x:c r="H21" s="27" t="str">
        <x:v>Not Started</x:v>
      </x:c>
      <x:c r="I21" s="27" t="str">
        <x:v>VFX</x:v>
      </x:c>
      <x:c r="J21" s="21" t="str">
        <x:v>Particle/material/light asset + event binding</x:v>
      </x:c>
      <x:c r="K21" s="21" t="str">
        <x:v>Readable in bright and dark maps, colorblind-safe, bounded for performance, and synchronized for remote clients.</x:v>
      </x:c>
      <x:c r="L21" s="21" t="str">
        <x:v>SRC-022: vt2-pusfume-1p/docs/PUSFUME_CAREER_SPEC_V2.md; SRC-017: scripts/ui/hud_ui/ability_ui.lua and career_ability_bar_ui.lua; SRC-014: scripts/unit_extensions/generic/interactions.lua</x:v>
      </x:c>
      <x:c r="M21" s="21" t="str"/>
    </x:row>
    <x:row r="22" ht="46" customHeight="1">
      <x:c r="A22" s="24" t="str">
        <x:v>VFX-018</x:v>
      </x:c>
      <x:c r="B22" s="21" t="str">
        <x:v>VFX</x:v>
      </x:c>
      <x:c r="C22" s="21" t="str">
        <x:v>Gas trap: Gas cloud</x:v>
      </x:c>
      <x:c r="D22" s="21" t="str">
        <x:v>First/third/world</x:v>
      </x:c>
      <x:c r="E22" s="21" t="str">
        <x:v>Area lifetime</x:v>
      </x:c>
      <x:c r="F22" s="27" t="str">
        <x:v>Required</x:v>
      </x:c>
      <x:c r="G22" s="27" t="str">
        <x:v>P0</x:v>
      </x:c>
      <x:c r="H22" s="27" t="str">
        <x:v>Not Started</x:v>
      </x:c>
      <x:c r="I22" s="27" t="str">
        <x:v>VFX</x:v>
      </x:c>
      <x:c r="J22" s="21" t="str">
        <x:v>Particle/material/light asset + event binding</x:v>
      </x:c>
      <x:c r="K22" s="21" t="str">
        <x:v>Readable in bright and dark maps, colorblind-safe, bounded for performance, and synchronized for remote clients.</x:v>
      </x:c>
      <x:c r="L22" s="21" t="str">
        <x:v>SRC-022: vt2-pusfume-1p/docs/PUSFUME_CAREER_SPEC_V2.md; SRC-017: scripts/ui/hud_ui/ability_ui.lua and career_ability_bar_ui.lua; SRC-014: scripts/unit_extensions/generic/interactions.lua</x:v>
      </x:c>
      <x:c r="M22" s="21" t="str"/>
    </x:row>
    <x:row r="23" ht="46" customHeight="1">
      <x:c r="A23" s="24" t="str">
        <x:v>VFX-019</x:v>
      </x:c>
      <x:c r="B23" s="21" t="str">
        <x:v>VFX</x:v>
      </x:c>
      <x:c r="C23" s="21" t="str">
        <x:v>Gas trap: Expiry/destruction</x:v>
      </x:c>
      <x:c r="D23" s="21" t="str">
        <x:v>First/third/world</x:v>
      </x:c>
      <x:c r="E23" s="21" t="str">
        <x:v>End state</x:v>
      </x:c>
      <x:c r="F23" s="27" t="str">
        <x:v>Required</x:v>
      </x:c>
      <x:c r="G23" s="27" t="str">
        <x:v>P1</x:v>
      </x:c>
      <x:c r="H23" s="27" t="str">
        <x:v>Not Started</x:v>
      </x:c>
      <x:c r="I23" s="27" t="str">
        <x:v>VFX</x:v>
      </x:c>
      <x:c r="J23" s="21" t="str">
        <x:v>Particle/material/light asset + event binding</x:v>
      </x:c>
      <x:c r="K23" s="21" t="str">
        <x:v>Readable in bright and dark maps, colorblind-safe, bounded for performance, and synchronized for remote clients.</x:v>
      </x:c>
      <x:c r="L23" s="21" t="str">
        <x:v>SRC-022: vt2-pusfume-1p/docs/PUSFUME_CAREER_SPEC_V2.md; SRC-017: scripts/ui/hud_ui/ability_ui.lua and career_ability_bar_ui.lua; SRC-014: scripts/unit_extensions/generic/interactions.lua</x:v>
      </x:c>
      <x:c r="M23" s="21" t="str"/>
    </x:row>
    <x:row r="24" ht="46" customHeight="1">
      <x:c r="A24" s="24" t="str">
        <x:v>VFX-020</x:v>
      </x:c>
      <x:c r="B24" s="21" t="str">
        <x:v>VFX</x:v>
      </x:c>
      <x:c r="C24" s="21" t="str">
        <x:v>Perk feedback: Hell Pit Native immunity</x:v>
      </x:c>
      <x:c r="D24" s="21" t="str">
        <x:v>First/third/world</x:v>
      </x:c>
      <x:c r="E24" s="21" t="str">
        <x:v>Blocked poison damage</x:v>
      </x:c>
      <x:c r="F24" s="27" t="str">
        <x:v>Required</x:v>
      </x:c>
      <x:c r="G24" s="27" t="str">
        <x:v>P1</x:v>
      </x:c>
      <x:c r="H24" s="27" t="str">
        <x:v>Not Started</x:v>
      </x:c>
      <x:c r="I24" s="27" t="str">
        <x:v>VFX</x:v>
      </x:c>
      <x:c r="J24" s="21" t="str">
        <x:v>Particle/material/light asset + event binding</x:v>
      </x:c>
      <x:c r="K24" s="21" t="str">
        <x:v>Readable in bright and dark maps, colorblind-safe, bounded for performance, and synchronized for remote clients.</x:v>
      </x:c>
      <x:c r="L24" s="21" t="str">
        <x:v>SRC-022: vt2-pusfume-1p/docs/PUSFUME_CAREER_SPEC_V2.md; SRC-017: scripts/ui/hud_ui/ability_ui.lua and career_ability_bar_ui.lua; SRC-014: scripts/unit_extensions/generic/interactions.lua</x:v>
      </x:c>
      <x:c r="M24" s="21" t="str"/>
    </x:row>
    <x:row r="25" ht="46" customHeight="1">
      <x:c r="A25" s="24" t="str">
        <x:v>VFX-021</x:v>
      </x:c>
      <x:c r="B25" s="21" t="str">
        <x:v>VFX</x:v>
      </x:c>
      <x:c r="C25" s="21" t="str">
        <x:v>Perk feedback: Scaredy-rat proc</x:v>
      </x:c>
      <x:c r="D25" s="21" t="str">
        <x:v>First/third/world</x:v>
      </x:c>
      <x:c r="E25" s="21" t="str">
        <x:v>20% speed / 3 seconds</x:v>
      </x:c>
      <x:c r="F25" s="27" t="str">
        <x:v>Required</x:v>
      </x:c>
      <x:c r="G25" s="27" t="str">
        <x:v>P1</x:v>
      </x:c>
      <x:c r="H25" s="27" t="str">
        <x:v>Not Started</x:v>
      </x:c>
      <x:c r="I25" s="27" t="str">
        <x:v>VFX</x:v>
      </x:c>
      <x:c r="J25" s="21" t="str">
        <x:v>Particle/material/light asset + event binding</x:v>
      </x:c>
      <x:c r="K25" s="21" t="str">
        <x:v>Readable in bright and dark maps, colorblind-safe, bounded for performance, and synchronized for remote clients.</x:v>
      </x:c>
      <x:c r="L25" s="21" t="str">
        <x:v>SRC-022: vt2-pusfume-1p/docs/PUSFUME_CAREER_SPEC_V2.md; SRC-017: scripts/ui/hud_ui/ability_ui.lua and career_ability_bar_ui.lua; SRC-014: scripts/unit_extensions/generic/interactions.lua</x:v>
      </x:c>
      <x:c r="M25" s="21" t="str"/>
    </x:row>
    <x:row r="26" ht="46" customHeight="1">
      <x:c r="A26" s="24" t="str">
        <x:v>VFX-022</x:v>
      </x:c>
      <x:c r="B26" s="21" t="str">
        <x:v>VFX</x:v>
      </x:c>
      <x:c r="C26" s="21" t="str">
        <x:v>Perk feedback: Insider Knowledge target mark</x:v>
      </x:c>
      <x:c r="D26" s="21" t="str">
        <x:v>First/third/world</x:v>
      </x:c>
      <x:c r="E26" s="21" t="str">
        <x:v>Skaven team vulnerability</x:v>
      </x:c>
      <x:c r="F26" s="27" t="str">
        <x:v>Required</x:v>
      </x:c>
      <x:c r="G26" s="27" t="str">
        <x:v>P1</x:v>
      </x:c>
      <x:c r="H26" s="27" t="str">
        <x:v>Not Started</x:v>
      </x:c>
      <x:c r="I26" s="27" t="str">
        <x:v>VFX</x:v>
      </x:c>
      <x:c r="J26" s="21" t="str">
        <x:v>Particle/material/light asset + event binding</x:v>
      </x:c>
      <x:c r="K26" s="21" t="str">
        <x:v>Readable in bright and dark maps, colorblind-safe, bounded for performance, and synchronized for remote clients.</x:v>
      </x:c>
      <x:c r="L26" s="21" t="str">
        <x:v>SRC-022: vt2-pusfume-1p/docs/PUSFUME_CAREER_SPEC_V2.md; SRC-017: scripts/ui/hud_ui/ability_ui.lua and career_ability_bar_ui.lua; SRC-014: scripts/unit_extensions/generic/interactions.lua</x:v>
      </x:c>
      <x:c r="M26" s="21" t="str"/>
    </x:row>
    <x:row r="27" ht="46" customHeight="1">
      <x:c r="A27" s="24" t="str">
        <x:v>VFX-023</x:v>
      </x:c>
      <x:c r="B27" s="21" t="str">
        <x:v>VFX</x:v>
      </x:c>
      <x:c r="C27" s="21" t="str">
        <x:v>Quest feedback: The Great Scheme progress</x:v>
      </x:c>
      <x:c r="D27" s="21" t="str">
        <x:v>First/third/world</x:v>
      </x:c>
      <x:c r="E27" s="21" t="str">
        <x:v>Increment</x:v>
      </x:c>
      <x:c r="F27" s="27" t="str">
        <x:v>Required</x:v>
      </x:c>
      <x:c r="G27" s="27" t="str">
        <x:v>P1</x:v>
      </x:c>
      <x:c r="H27" s="27" t="str">
        <x:v>Not Started</x:v>
      </x:c>
      <x:c r="I27" s="27" t="str">
        <x:v>VFX</x:v>
      </x:c>
      <x:c r="J27" s="21" t="str">
        <x:v>Particle/material/light asset + event binding</x:v>
      </x:c>
      <x:c r="K27" s="21" t="str">
        <x:v>Readable in bright and dark maps, colorblind-safe, bounded for performance, and synchronized for remote clients.</x:v>
      </x:c>
      <x:c r="L27" s="21" t="str">
        <x:v>SRC-022: vt2-pusfume-1p/docs/PUSFUME_CAREER_SPEC_V2.md; SRC-017: scripts/ui/hud_ui/ability_ui.lua and career_ability_bar_ui.lua; SRC-014: scripts/unit_extensions/generic/interactions.lua</x:v>
      </x:c>
      <x:c r="M27" s="21" t="str"/>
    </x:row>
    <x:row r="28" ht="46" customHeight="1">
      <x:c r="A28" s="24" t="str">
        <x:v>VFX-024</x:v>
      </x:c>
      <x:c r="B28" s="21" t="str">
        <x:v>VFX</x:v>
      </x:c>
      <x:c r="C28" s="21" t="str">
        <x:v>Quest feedback: The Great Scheme complete</x:v>
      </x:c>
      <x:c r="D28" s="21" t="str">
        <x:v>First/third/world</x:v>
      </x:c>
      <x:c r="E28" s="21" t="str">
        <x:v>Completion</x:v>
      </x:c>
      <x:c r="F28" s="27" t="str">
        <x:v>Required</x:v>
      </x:c>
      <x:c r="G28" s="27" t="str">
        <x:v>P1</x:v>
      </x:c>
      <x:c r="H28" s="27" t="str">
        <x:v>Not Started</x:v>
      </x:c>
      <x:c r="I28" s="27" t="str">
        <x:v>VFX</x:v>
      </x:c>
      <x:c r="J28" s="21" t="str">
        <x:v>Particle/material/light asset + event binding</x:v>
      </x:c>
      <x:c r="K28" s="21" t="str">
        <x:v>Readable in bright and dark maps, colorblind-safe, bounded for performance, and synchronized for remote clients.</x:v>
      </x:c>
      <x:c r="L28" s="21" t="str">
        <x:v>SRC-022: vt2-pusfume-1p/docs/PUSFUME_CAREER_SPEC_V2.md; SRC-017: scripts/ui/hud_ui/ability_ui.lua and career_ability_bar_ui.lua; SRC-014: scripts/unit_extensions/generic/interactions.lua</x:v>
      </x:c>
      <x:c r="M28" s="21" t="str"/>
    </x:row>
    <x:row r="29" ht="46" customHeight="1">
      <x:c r="A29" s="24" t="str">
        <x:v>VFX-025</x:v>
      </x:c>
      <x:c r="B29" s="21" t="str">
        <x:v>Gameplay integration</x:v>
      </x:c>
      <x:c r="C29" s="21" t="str">
        <x:v>Bag world unit</x:v>
      </x:c>
      <x:c r="D29" s="21" t="str">
        <x:v>Runtime</x:v>
      </x:c>
      <x:c r="E29" s="21" t="str">
        <x:v>Server/client</x:v>
      </x:c>
      <x:c r="F29" s="27" t="str">
        <x:v>Required</x:v>
      </x:c>
      <x:c r="G29" s="27" t="str">
        <x:v>P0</x:v>
      </x:c>
      <x:c r="H29" s="27" t="str">
        <x:v>Not Started</x:v>
      </x:c>
      <x:c r="I29" s="27" t="str">
        <x:v>Engineering</x:v>
      </x:c>
      <x:c r="J29" s="21" t="str">
        <x:v>Lua settings/actions/buffs/tests</x:v>
      </x:c>
      <x:c r="K29" s="21" t="str">
        <x:v>Collision, interaction volume, owner, lifetime, charges; regression tests cover host, client, bot, death, and reconnect where applicable.</x:v>
      </x:c>
      <x:c r="L29" s="21" t="str">
        <x:v>SRC-022: vt2-pusfume-1p/docs/PUSFUME_CAREER_SPEC_V2.md; SRC-023: vt2-pusfume-1p/docs/CAREER_KIT.md; SRC-017: scripts/ui/hud_ui/ability_ui.lua and career_ability_bar_ui.lua</x:v>
      </x:c>
      <x:c r="M29" s="21" t="str"/>
    </x:row>
    <x:row r="30" ht="46" customHeight="1">
      <x:c r="A30" s="24" t="str">
        <x:v>VFX-026</x:v>
      </x:c>
      <x:c r="B30" s="21" t="str">
        <x:v>Gameplay integration</x:v>
      </x:c>
      <x:c r="C30" s="21" t="str">
        <x:v>Potion enchant recipe set</x:v>
      </x:c>
      <x:c r="D30" s="21" t="str">
        <x:v>Runtime</x:v>
      </x:c>
      <x:c r="E30" s="21" t="str">
        <x:v>Server/client</x:v>
      </x:c>
      <x:c r="F30" s="27" t="str">
        <x:v>Required</x:v>
      </x:c>
      <x:c r="G30" s="27" t="str">
        <x:v>P1</x:v>
      </x:c>
      <x:c r="H30" s="27" t="str">
        <x:v>Not Started</x:v>
      </x:c>
      <x:c r="I30" s="27" t="str">
        <x:v>Engineering</x:v>
      </x:c>
      <x:c r="J30" s="21" t="str">
        <x:v>Lua settings/actions/buffs/tests</x:v>
      </x:c>
      <x:c r="K30" s="21" t="str">
        <x:v>Every supported potion and invalid-item fallback; regression tests cover host, client, bot, death, and reconnect where applicable.</x:v>
      </x:c>
      <x:c r="L30" s="21" t="str">
        <x:v>SRC-022: vt2-pusfume-1p/docs/PUSFUME_CAREER_SPEC_V2.md; SRC-023: vt2-pusfume-1p/docs/CAREER_KIT.md; SRC-017: scripts/ui/hud_ui/ability_ui.lua and career_ability_bar_ui.lua</x:v>
      </x:c>
      <x:c r="M30" s="21" t="str"/>
    </x:row>
    <x:row r="31" ht="46" customHeight="1">
      <x:c r="A31" s="24" t="str">
        <x:v>VFX-027</x:v>
      </x:c>
      <x:c r="B31" s="21" t="str">
        <x:v>Gameplay integration</x:v>
      </x:c>
      <x:c r="C31" s="21" t="str">
        <x:v>Gas bomb item definition</x:v>
      </x:c>
      <x:c r="D31" s="21" t="str">
        <x:v>Runtime</x:v>
      </x:c>
      <x:c r="E31" s="21" t="str">
        <x:v>Server/client</x:v>
      </x:c>
      <x:c r="F31" s="27" t="str">
        <x:v>Required</x:v>
      </x:c>
      <x:c r="G31" s="27" t="str">
        <x:v>P1</x:v>
      </x:c>
      <x:c r="H31" s="27" t="str">
        <x:v>Not Started</x:v>
      </x:c>
      <x:c r="I31" s="27" t="str">
        <x:v>Engineering</x:v>
      </x:c>
      <x:c r="J31" s="21" t="str">
        <x:v>Lua settings/actions/buffs/tests</x:v>
      </x:c>
      <x:c r="K31" s="21" t="str">
        <x:v>Inventory icon, projectile, explosion, damage-over-time and friendly-fire policy; regression tests cover host, client, bot, death, and reconnect where applicable.</x:v>
      </x:c>
      <x:c r="L31" s="21" t="str">
        <x:v>SRC-022: vt2-pusfume-1p/docs/PUSFUME_CAREER_SPEC_V2.md; SRC-023: vt2-pusfume-1p/docs/CAREER_KIT.md; SRC-017: scripts/ui/hud_ui/ability_ui.lua and career_ability_bar_ui.lua</x:v>
      </x:c>
      <x:c r="M31" s="21" t="str"/>
    </x:row>
    <x:row r="32" ht="46" customHeight="1">
      <x:c r="A32" s="24" t="str">
        <x:v>VFX-028</x:v>
      </x:c>
      <x:c r="B32" s="21" t="str">
        <x:v>Gameplay integration</x:v>
      </x:c>
      <x:c r="C32" s="21" t="str">
        <x:v>Gas trap item definition</x:v>
      </x:c>
      <x:c r="D32" s="21" t="str">
        <x:v>Runtime</x:v>
      </x:c>
      <x:c r="E32" s="21" t="str">
        <x:v>Server/client</x:v>
      </x:c>
      <x:c r="F32" s="27" t="str">
        <x:v>Required</x:v>
      </x:c>
      <x:c r="G32" s="27" t="str">
        <x:v>P1</x:v>
      </x:c>
      <x:c r="H32" s="27" t="str">
        <x:v>Not Started</x:v>
      </x:c>
      <x:c r="I32" s="27" t="str">
        <x:v>Engineering</x:v>
      </x:c>
      <x:c r="J32" s="21" t="str">
        <x:v>Lua settings/actions/buffs/tests</x:v>
      </x:c>
      <x:c r="K32" s="21" t="str">
        <x:v>Inventory, placement, arm delay, trigger, lifetime, network ownership; regression tests cover host, client, bot, death, and reconnect where applicable.</x:v>
      </x:c>
      <x:c r="L32" s="21" t="str">
        <x:v>SRC-022: vt2-pusfume-1p/docs/PUSFUME_CAREER_SPEC_V2.md; SRC-023: vt2-pusfume-1p/docs/CAREER_KIT.md; SRC-017: scripts/ui/hud_ui/ability_ui.lua and career_ability_bar_ui.lua</x:v>
      </x:c>
      <x:c r="M32" s="21" t="str"/>
    </x:row>
    <x:row r="33" ht="46" customHeight="1">
      <x:c r="A33" s="24" t="str">
        <x:v>VFX-029</x:v>
      </x:c>
      <x:c r="B33" s="21" t="str">
        <x:v>Gameplay integration</x:v>
      </x:c>
      <x:c r="C33" s="21" t="str">
        <x:v>Gas cloud damage profile</x:v>
      </x:c>
      <x:c r="D33" s="21" t="str">
        <x:v>Runtime</x:v>
      </x:c>
      <x:c r="E33" s="21" t="str">
        <x:v>Server/client</x:v>
      </x:c>
      <x:c r="F33" s="27" t="str">
        <x:v>Required</x:v>
      </x:c>
      <x:c r="G33" s="27" t="str">
        <x:v>P1</x:v>
      </x:c>
      <x:c r="H33" s="27" t="str">
        <x:v>Not Started</x:v>
      </x:c>
      <x:c r="I33" s="27" t="str">
        <x:v>Engineering</x:v>
      </x:c>
      <x:c r="J33" s="21" t="str">
        <x:v>Lua settings/actions/buffs/tests</x:v>
      </x:c>
      <x:c r="K33" s="21" t="str">
        <x:v>Poison type, tick rate, radius, falloff, stacking, immunity interaction; regression tests cover host, client, bot, death, and reconnect where applicable.</x:v>
      </x:c>
      <x:c r="L33" s="21" t="str">
        <x:v>SRC-022: vt2-pusfume-1p/docs/PUSFUME_CAREER_SPEC_V2.md; SRC-023: vt2-pusfume-1p/docs/CAREER_KIT.md; SRC-017: scripts/ui/hud_ui/ability_ui.lua and career_ability_bar_ui.lua</x:v>
      </x:c>
      <x:c r="M33" s="21" t="str"/>
    </x:row>
    <x:row r="34" ht="46" customHeight="1">
      <x:c r="A34" s="24" t="str">
        <x:v>VFX-030</x:v>
      </x:c>
      <x:c r="B34" s="21" t="str">
        <x:v>Gameplay integration</x:v>
      </x:c>
      <x:c r="C34" s="21" t="str">
        <x:v>Hell Pit Native buff</x:v>
      </x:c>
      <x:c r="D34" s="21" t="str">
        <x:v>Runtime</x:v>
      </x:c>
      <x:c r="E34" s="21" t="str">
        <x:v>Server/client</x:v>
      </x:c>
      <x:c r="F34" s="27" t="str">
        <x:v>Required</x:v>
      </x:c>
      <x:c r="G34" s="27" t="str">
        <x:v>P1</x:v>
      </x:c>
      <x:c r="H34" s="27" t="str">
        <x:v>Not Started</x:v>
      </x:c>
      <x:c r="I34" s="27" t="str">
        <x:v>Engineering</x:v>
      </x:c>
      <x:c r="J34" s="21" t="str">
        <x:v>Lua settings/actions/buffs/tests</x:v>
      </x:c>
      <x:c r="K34" s="21" t="str">
        <x:v>Globadier gas and poison immunity scope verified; regression tests cover host, client, bot, death, and reconnect where applicable.</x:v>
      </x:c>
      <x:c r="L34" s="21" t="str">
        <x:v>SRC-022: vt2-pusfume-1p/docs/PUSFUME_CAREER_SPEC_V2.md; SRC-023: vt2-pusfume-1p/docs/CAREER_KIT.md; SRC-017: scripts/ui/hud_ui/ability_ui.lua and career_ability_bar_ui.lua</x:v>
      </x:c>
      <x:c r="M34" s="21" t="str"/>
    </x:row>
    <x:row r="35" ht="46" customHeight="1">
      <x:c r="A35" s="24" t="str">
        <x:v>VFX-031</x:v>
      </x:c>
      <x:c r="B35" s="21" t="str">
        <x:v>Gameplay integration</x:v>
      </x:c>
      <x:c r="C35" s="21" t="str">
        <x:v>Scaredy-rat buff</x:v>
      </x:c>
      <x:c r="D35" s="21" t="str">
        <x:v>Runtime</x:v>
      </x:c>
      <x:c r="E35" s="21" t="str">
        <x:v>Server/client</x:v>
      </x:c>
      <x:c r="F35" s="27" t="str">
        <x:v>Required</x:v>
      </x:c>
      <x:c r="G35" s="27" t="str">
        <x:v>P1</x:v>
      </x:c>
      <x:c r="H35" s="27" t="str">
        <x:v>Not Started</x:v>
      </x:c>
      <x:c r="I35" s="27" t="str">
        <x:v>Engineering</x:v>
      </x:c>
      <x:c r="J35" s="21" t="str">
        <x:v>Lua settings/actions/buffs/tests</x:v>
      </x:c>
      <x:c r="K35" s="21" t="str">
        <x:v>20% movement speed for 3 seconds after damage; cooldown/stacking defined; regression tests cover host, client, bot, death, and reconnect where applicable.</x:v>
      </x:c>
      <x:c r="L35" s="21" t="str">
        <x:v>SRC-022: vt2-pusfume-1p/docs/PUSFUME_CAREER_SPEC_V2.md; SRC-023: vt2-pusfume-1p/docs/CAREER_KIT.md; SRC-017: scripts/ui/hud_ui/ability_ui.lua and career_ability_bar_ui.lua</x:v>
      </x:c>
      <x:c r="M35" s="21" t="str"/>
    </x:row>
    <x:row r="36" ht="46" customHeight="1">
      <x:c r="A36" s="24" t="str">
        <x:v>VFX-032</x:v>
      </x:c>
      <x:c r="B36" s="21" t="str">
        <x:v>Gameplay integration</x:v>
      </x:c>
      <x:c r="C36" s="21" t="str">
        <x:v>Insider Knowledge debuff</x:v>
      </x:c>
      <x:c r="D36" s="21" t="str">
        <x:v>Runtime</x:v>
      </x:c>
      <x:c r="E36" s="21" t="str">
        <x:v>Server/client</x:v>
      </x:c>
      <x:c r="F36" s="27" t="str">
        <x:v>Required</x:v>
      </x:c>
      <x:c r="G36" s="27" t="str">
        <x:v>P1</x:v>
      </x:c>
      <x:c r="H36" s="27" t="str">
        <x:v>Not Started</x:v>
      </x:c>
      <x:c r="I36" s="27" t="str">
        <x:v>Engineering</x:v>
      </x:c>
      <x:c r="J36" s="21" t="str">
        <x:v>Lua settings/actions/buffs/tests</x:v>
      </x:c>
      <x:c r="K36" s="21" t="str">
        <x:v>All team members deal 5% more damage to Skaven; stacking defined; regression tests cover host, client, bot, death, and reconnect where applicable.</x:v>
      </x:c>
      <x:c r="L36" s="21" t="str">
        <x:v>SRC-022: vt2-pusfume-1p/docs/PUSFUME_CAREER_SPEC_V2.md; SRC-023: vt2-pusfume-1p/docs/CAREER_KIT.md; SRC-017: scripts/ui/hud_ui/ability_ui.lua and career_ability_bar_ui.lua</x:v>
      </x:c>
      <x:c r="M36" s="21" t="str"/>
    </x:row>
    <x:row r="37" ht="46" customHeight="1">
      <x:c r="A37" s="24" t="str">
        <x:v>VFX-033</x:v>
      </x:c>
      <x:c r="B37" s="21" t="str">
        <x:v>Gameplay integration</x:v>
      </x:c>
      <x:c r="C37" s="21" t="str">
        <x:v>The Great Scheme quest pool</x:v>
      </x:c>
      <x:c r="D37" s="21" t="str">
        <x:v>Runtime</x:v>
      </x:c>
      <x:c r="E37" s="21" t="str">
        <x:v>Server/client</x:v>
      </x:c>
      <x:c r="F37" s="27" t="str">
        <x:v>Required</x:v>
      </x:c>
      <x:c r="G37" s="27" t="str">
        <x:v>P1</x:v>
      </x:c>
      <x:c r="H37" s="27" t="str">
        <x:v>Not Started</x:v>
      </x:c>
      <x:c r="I37" s="27" t="str">
        <x:v>Engineering</x:v>
      </x:c>
      <x:c r="J37" s="21" t="str">
        <x:v>Lua settings/actions/buffs/tests</x:v>
      </x:c>
      <x:c r="K37" s="21" t="str">
        <x:v>Skaven-themed placeholder objectives, progress, completion, reset; regression tests cover host, client, bot, death, and reconnect where applicable.</x:v>
      </x:c>
      <x:c r="L37" s="21" t="str">
        <x:v>SRC-022: vt2-pusfume-1p/docs/PUSFUME_CAREER_SPEC_V2.md; SRC-023: vt2-pusfume-1p/docs/CAREER_KIT.md; SRC-017: scripts/ui/hud_ui/ability_ui.lua and career_ability_bar_ui.lua</x:v>
      </x:c>
      <x:c r="M37" s="21" t="str"/>
    </x:row>
    <x:row r="38" ht="46" customHeight="1">
      <x:c r="A38" s="24" t="str">
        <x:v>VFX-034</x:v>
      </x:c>
      <x:c r="B38" s="21" t="str">
        <x:v>Gameplay integration</x:v>
      </x:c>
      <x:c r="C38" s="21" t="str">
        <x:v>Quest selection UI data</x:v>
      </x:c>
      <x:c r="D38" s="21" t="str">
        <x:v>Runtime</x:v>
      </x:c>
      <x:c r="E38" s="21" t="str">
        <x:v>Server/client</x:v>
      </x:c>
      <x:c r="F38" s="27" t="str">
        <x:v>Required</x:v>
      </x:c>
      <x:c r="G38" s="27" t="str">
        <x:v>P1</x:v>
      </x:c>
      <x:c r="H38" s="27" t="str">
        <x:v>Not Started</x:v>
      </x:c>
      <x:c r="I38" s="27" t="str">
        <x:v>Engineering</x:v>
      </x:c>
      <x:c r="J38" s="21" t="str">
        <x:v>Lua settings/actions/buffs/tests</x:v>
      </x:c>
      <x:c r="K38" s="21" t="str">
        <x:v>Active quest visibility and localized descriptions; regression tests cover host, client, bot, death, and reconnect where applicable.</x:v>
      </x:c>
      <x:c r="L38" s="21" t="str">
        <x:v>SRC-022: vt2-pusfume-1p/docs/PUSFUME_CAREER_SPEC_V2.md; SRC-023: vt2-pusfume-1p/docs/CAREER_KIT.md; SRC-017: scripts/ui/hud_ui/ability_ui.lua and career_ability_bar_ui.lua</x:v>
      </x:c>
      <x:c r="M38" s="21" t="str"/>
    </x:row>
    <x:row r="39" ht="46" customHeight="1">
      <x:c r="A39" s="24" t="str">
        <x:v>VFX-035</x:v>
      </x:c>
      <x:c r="B39" s="21" t="str">
        <x:v>Gameplay integration</x:v>
      </x:c>
      <x:c r="C39" s="21" t="str">
        <x:v>Career skill cooldown/charges</x:v>
      </x:c>
      <x:c r="D39" s="21" t="str">
        <x:v>Runtime</x:v>
      </x:c>
      <x:c r="E39" s="21" t="str">
        <x:v>Server/client</x:v>
      </x:c>
      <x:c r="F39" s="27" t="str">
        <x:v>Required</x:v>
      </x:c>
      <x:c r="G39" s="27" t="str">
        <x:v>P0</x:v>
      </x:c>
      <x:c r="H39" s="27" t="str">
        <x:v>Not Started</x:v>
      </x:c>
      <x:c r="I39" s="27" t="str">
        <x:v>Engineering</x:v>
      </x:c>
      <x:c r="J39" s="21" t="str">
        <x:v>Lua settings/actions/buffs/tests</x:v>
      </x:c>
      <x:c r="K39" s="21" t="str">
        <x:v>Authoritative server logic and HUD synchronization; regression tests cover host, client, bot, death, and reconnect where applicable.</x:v>
      </x:c>
      <x:c r="L39" s="21" t="str">
        <x:v>SRC-022: vt2-pusfume-1p/docs/PUSFUME_CAREER_SPEC_V2.md; SRC-023: vt2-pusfume-1p/docs/CAREER_KIT.md; SRC-017: scripts/ui/hud_ui/ability_ui.lua and career_ability_bar_ui.lua</x:v>
      </x:c>
      <x:c r="M39" s="21" t="str"/>
    </x:row>
    <x:row r="40" ht="46" customHeight="1">
      <x:c r="A40" s="24" t="str">
        <x:v>VFX-036</x:v>
      </x:c>
      <x:c r="B40" s="21" t="str">
        <x:v>Gameplay integration</x:v>
      </x:c>
      <x:c r="C40" s="21" t="str">
        <x:v>Career skill interruption</x:v>
      </x:c>
      <x:c r="D40" s="21" t="str">
        <x:v>Runtime</x:v>
      </x:c>
      <x:c r="E40" s="21" t="str">
        <x:v>Server/client</x:v>
      </x:c>
      <x:c r="F40" s="27" t="str">
        <x:v>Required</x:v>
      </x:c>
      <x:c r="G40" s="27" t="str">
        <x:v>P1</x:v>
      </x:c>
      <x:c r="H40" s="27" t="str">
        <x:v>Not Started</x:v>
      </x:c>
      <x:c r="I40" s="27" t="str">
        <x:v>Engineering</x:v>
      </x:c>
      <x:c r="J40" s="21" t="str">
        <x:v>Lua settings/actions/buffs/tests</x:v>
      </x:c>
      <x:c r="K40" s="21" t="str">
        <x:v>Damage, ledge, disable, death, item swap, and disconnect handling; regression tests cover host, client, bot, death, and reconnect where applicable.</x:v>
      </x:c>
      <x:c r="L40" s="21" t="str">
        <x:v>SRC-022: vt2-pusfume-1p/docs/PUSFUME_CAREER_SPEC_V2.md; SRC-023: vt2-pusfume-1p/docs/CAREER_KIT.md; SRC-017: scripts/ui/hud_ui/ability_ui.lua and career_ability_bar_ui.lua</x:v>
      </x:c>
      <x:c r="M40" s="21" t="str"/>
    </x:row>
    <x:row r="41" ht="46" customHeight="1">
      <x:c r="A41" s="24" t="str">
        <x:v>VFX-037</x:v>
      </x:c>
      <x:c r="B41" s="21" t="str">
        <x:v>Gameplay integration</x:v>
      </x:c>
      <x:c r="C41" s="21" t="str">
        <x:v>Network RPC/state replication</x:v>
      </x:c>
      <x:c r="D41" s="21" t="str">
        <x:v>Runtime</x:v>
      </x:c>
      <x:c r="E41" s="21" t="str">
        <x:v>Server/client</x:v>
      </x:c>
      <x:c r="F41" s="27" t="str">
        <x:v>Required</x:v>
      </x:c>
      <x:c r="G41" s="27" t="str">
        <x:v>P0</x:v>
      </x:c>
      <x:c r="H41" s="27" t="str">
        <x:v>Not Started</x:v>
      </x:c>
      <x:c r="I41" s="27" t="str">
        <x:v>Engineering</x:v>
      </x:c>
      <x:c r="J41" s="21" t="str">
        <x:v>Lua settings/actions/buffs/tests</x:v>
      </x:c>
      <x:c r="K41" s="21" t="str">
        <x:v>Bag, recipes, traps, clouds, buffs, quest progress; regression tests cover host, client, bot, death, and reconnect where applicable.</x:v>
      </x:c>
      <x:c r="L41" s="21" t="str">
        <x:v>SRC-022: vt2-pusfume-1p/docs/PUSFUME_CAREER_SPEC_V2.md; SRC-023: vt2-pusfume-1p/docs/CAREER_KIT.md; SRC-017: scripts/ui/hud_ui/ability_ui.lua and career_ability_bar_ui.lua</x:v>
      </x:c>
      <x:c r="M41" s="21" t="str"/>
    </x:row>
    <x:row r="42" ht="46" customHeight="1">
      <x:c r="A42" s="24" t="str">
        <x:v>VFX-038</x:v>
      </x:c>
      <x:c r="B42" s="21" t="str">
        <x:v>Gameplay integration</x:v>
      </x:c>
      <x:c r="C42" s="21" t="str">
        <x:v>Bot behavior</x:v>
      </x:c>
      <x:c r="D42" s="21" t="str">
        <x:v>Runtime</x:v>
      </x:c>
      <x:c r="E42" s="21" t="str">
        <x:v>Server/client</x:v>
      </x:c>
      <x:c r="F42" s="27" t="str">
        <x:v>Required</x:v>
      </x:c>
      <x:c r="G42" s="27" t="str">
        <x:v>P1</x:v>
      </x:c>
      <x:c r="H42" s="27" t="str">
        <x:v>Not Started</x:v>
      </x:c>
      <x:c r="I42" s="27" t="str">
        <x:v>Engineering</x:v>
      </x:c>
      <x:c r="J42" s="21" t="str">
        <x:v>Lua settings/actions/buffs/tests</x:v>
      </x:c>
      <x:c r="K42" s="21" t="str">
        <x:v>Bag deploy/use, trap placement, and quest participation policy; regression tests cover host, client, bot, death, and reconnect where applicable.</x:v>
      </x:c>
      <x:c r="L42" s="21" t="str">
        <x:v>SRC-022: vt2-pusfume-1p/docs/PUSFUME_CAREER_SPEC_V2.md; SRC-023: vt2-pusfume-1p/docs/CAREER_KIT.md; SRC-017: scripts/ui/hud_ui/ability_ui.lua and career_ability_bar_ui.lua</x:v>
      </x:c>
      <x:c r="M42" s="21" t="str"/>
    </x:row>
    <x:row r="43" ht="46" customHeight="1">
      <x:c r="A43" s="24" t="str">
        <x:v>VFX-039</x:v>
      </x:c>
      <x:c r="B43" s="21" t="str">
        <x:v>Gameplay integration</x:v>
      </x:c>
      <x:c r="C43" s="21" t="str">
        <x:v>Friendly-fire policy</x:v>
      </x:c>
      <x:c r="D43" s="21" t="str">
        <x:v>Runtime</x:v>
      </x:c>
      <x:c r="E43" s="21" t="str">
        <x:v>Server/client</x:v>
      </x:c>
      <x:c r="F43" s="27" t="str">
        <x:v>Required</x:v>
      </x:c>
      <x:c r="G43" s="27" t="str">
        <x:v>P1</x:v>
      </x:c>
      <x:c r="H43" s="27" t="str">
        <x:v>Not Started</x:v>
      </x:c>
      <x:c r="I43" s="27" t="str">
        <x:v>Engineering</x:v>
      </x:c>
      <x:c r="J43" s="21" t="str">
        <x:v>Lua settings/actions/buffs/tests</x:v>
      </x:c>
      <x:c r="K43" s="21" t="str">
        <x:v>Gas bomb/trap damage and ally visibility; regression tests cover host, client, bot, death, and reconnect where applicable.</x:v>
      </x:c>
      <x:c r="L43" s="21" t="str">
        <x:v>SRC-022: vt2-pusfume-1p/docs/PUSFUME_CAREER_SPEC_V2.md; SRC-023: vt2-pusfume-1p/docs/CAREER_KIT.md; SRC-017: scripts/ui/hud_ui/ability_ui.lua and career_ability_bar_ui.lua</x:v>
      </x:c>
      <x:c r="M43" s="21" t="str"/>
    </x:row>
    <x:row r="44" ht="46" customHeight="1">
      <x:c r="A44" s="24" t="str">
        <x:v>VFX-040</x:v>
      </x:c>
      <x:c r="B44" s="21" t="str">
        <x:v>Gameplay integration</x:v>
      </x:c>
      <x:c r="C44" s="21" t="str">
        <x:v>Save/load/backend policy</x:v>
      </x:c>
      <x:c r="D44" s="21" t="str">
        <x:v>Runtime</x:v>
      </x:c>
      <x:c r="E44" s="21" t="str">
        <x:v>Server/client</x:v>
      </x:c>
      <x:c r="F44" s="27" t="str">
        <x:v>Required</x:v>
      </x:c>
      <x:c r="G44" s="27" t="str">
        <x:v>P1</x:v>
      </x:c>
      <x:c r="H44" s="27" t="str">
        <x:v>Not Started</x:v>
      </x:c>
      <x:c r="I44" s="27" t="str">
        <x:v>Engineering</x:v>
      </x:c>
      <x:c r="J44" s="21" t="str">
        <x:v>Lua settings/actions/buffs/tests</x:v>
      </x:c>
      <x:c r="K44" s="21" t="str">
        <x:v>Career loadout, talents, quests, and unlock fallback; regression tests cover host, client, bot, death, and reconnect where applicable.</x:v>
      </x:c>
      <x:c r="L44" s="21" t="str">
        <x:v>SRC-022: vt2-pusfume-1p/docs/PUSFUME_CAREER_SPEC_V2.md; SRC-023: vt2-pusfume-1p/docs/CAREER_KIT.md; SRC-017: scripts/ui/hud_ui/ability_ui.lua and career_ability_bar_ui.lua</x:v>
      </x:c>
      <x:c r="M44" s="21" t="str"/>
    </x:row>
    <x:row r="45" ht="46" customHeight="1">
      <x:c r="A45" s="24" t="str">
        <x:v>VFX-041</x:v>
      </x:c>
      <x:c r="B45" s="21" t="str">
        <x:v>Gameplay integration</x:v>
      </x:c>
      <x:c r="C45" s="21" t="str">
        <x:v>Localization keys</x:v>
      </x:c>
      <x:c r="D45" s="21" t="str">
        <x:v>Runtime</x:v>
      </x:c>
      <x:c r="E45" s="21" t="str">
        <x:v>Server/client</x:v>
      </x:c>
      <x:c r="F45" s="27" t="str">
        <x:v>Required</x:v>
      </x:c>
      <x:c r="G45" s="27" t="str">
        <x:v>P1</x:v>
      </x:c>
      <x:c r="H45" s="27" t="str">
        <x:v>Not Started</x:v>
      </x:c>
      <x:c r="I45" s="27" t="str">
        <x:v>Engineering</x:v>
      </x:c>
      <x:c r="J45" s="21" t="str">
        <x:v>Lua settings/actions/buffs/tests</x:v>
      </x:c>
      <x:c r="K45" s="21" t="str">
        <x:v>Names, descriptions, prompts, quest text, talent text, errors; regression tests cover host, client, bot, death, and reconnect where applicable.</x:v>
      </x:c>
      <x:c r="L45" s="21" t="str">
        <x:v>SRC-022: vt2-pusfume-1p/docs/PUSFUME_CAREER_SPEC_V2.md; SRC-023: vt2-pusfume-1p/docs/CAREER_KIT.md; SRC-017: scripts/ui/hud_ui/ability_ui.lua and career_ability_bar_ui.lua</x:v>
      </x:c>
      <x:c r="M45" s="21" t="str"/>
    </x:row>
    <x:row r="46" ht="46" customHeight="1">
      <x:c r="A46" s="25" t="str">
        <x:v>VFX-042</x:v>
      </x:c>
      <x:c r="B46" s="22" t="str">
        <x:v>Gameplay integration</x:v>
      </x:c>
      <x:c r="C46" s="22" t="str">
        <x:v>Telemetry/debug commands</x:v>
      </x:c>
      <x:c r="D46" s="22" t="str">
        <x:v>Runtime</x:v>
      </x:c>
      <x:c r="E46" s="22" t="str">
        <x:v>Server/client</x:v>
      </x:c>
      <x:c r="F46" s="28" t="str">
        <x:v>Required</x:v>
      </x:c>
      <x:c r="G46" s="28" t="str">
        <x:v>P1</x:v>
      </x:c>
      <x:c r="H46" s="28" t="str">
        <x:v>Not Started</x:v>
      </x:c>
      <x:c r="I46" s="28" t="str">
        <x:v>Engineering</x:v>
      </x:c>
      <x:c r="J46" s="22" t="str">
        <x:v>Lua settings/actions/buffs/tests</x:v>
      </x:c>
      <x:c r="K46" s="22" t="str">
        <x:v>Spawn, trigger, complete quest, inspect bag, clear VFX; regression tests cover host, client, bot, death, and reconnect where applicable.</x:v>
      </x:c>
      <x:c r="L46" s="22" t="str">
        <x:v>SRC-022: vt2-pusfume-1p/docs/PUSFUME_CAREER_SPEC_V2.md; SRC-023: vt2-pusfume-1p/docs/CAREER_KIT.md; SRC-017: scripts/ui/hud_ui/ability_ui.lua and career_ability_bar_ui.lua</x:v>
      </x:c>
      <x:c r="M46" s="22" t="str"/>
    </x:row>
  </x:sheetData>
  <x:mergeCells>
    <x:mergeCell ref="A1:M1"/>
    <x:mergeCell ref="A2:M2"/>
  </x:mergeCells>
  <x:conditionalFormatting sqref="H5:H46">
    <x:cfRule type="containsText" dxfId="30" priority="1" operator="containsText" text="Complete"/>
    <x:cfRule type="containsText" dxfId="31" priority="2" operator="containsText" text="In Progress"/>
    <x:cfRule type="containsText" dxfId="32" priority="3" operator="containsText" text="Prototype Ready"/>
    <x:cfRule type="containsText" dxfId="33" priority="4" operator="containsText" text="Blocked"/>
  </x:conditionalFormatting>
  <x:conditionalFormatting sqref="G5:G46">
    <x:cfRule type="containsText" dxfId="34" priority="5" operator="containsText" text="P0"/>
    <x:cfRule type="containsText" dxfId="35" priority="6" operator="containsText" text="P1"/>
  </x:conditionalFormatting>
  <x:dataValidations count="4">
    <x:dataValidation type="list" sqref="F5:F46">
      <x:formula1>"Required,Optional,Conditional"</x:formula1>
    </x:dataValidation>
    <x:dataValidation type="list" sqref="G5:G46">
      <x:formula1>"P0,P1,P2,P3"</x:formula1>
    </x:dataValidation>
    <x:dataValidation type="list" sqref="H5:H46">
      <x:formula1>"Not Started,In Progress,Ready for Review,Prototype Ready,Blocked,Complete,Not Applicable"</x:formula1>
    </x:dataValidation>
    <x:dataValidation type="list" sqref="I5:I46">
      <x:formula1>"Janfon,Engineering,Audio,VFX,Design,QA,Janfon + Engineering,Unassigned"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6e6c19603641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6" hidden="0" customWidth="1"/>
    <x:col min="5" max="5" width="25" hidden="0" customWidth="1"/>
    <x:col min="6" max="6" width="14" hidden="0" customWidth="1"/>
    <x:col min="7" max="7" width="12" hidden="0" customWidth="1"/>
    <x:col min="8" max="8" width="19" hidden="0" customWidth="1"/>
    <x:col min="9" max="9" width="20" hidden="0" customWidth="1"/>
    <x:col min="10" max="10" width="31" hidden="0" customWidth="1"/>
    <x:col min="11" max="11" width="58" hidden="0" customWidth="1"/>
    <x:col min="12" max="12" width="58" hidden="0" customWidth="1"/>
    <x:col min="13" max="13" width="44" hidden="0" customWidth="1"/>
  </x:cols>
  <x:sheetData>
    <x:row r="1" ht="34" customHeight="1">
      <x:c r="A1" s="3" t="str">
        <x:v>Export &amp; Validation Specs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Blender 5.2, FBX, rig, animation, texture, compiler, live-test, performance, provenance, and handoff requirements.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ID</x:v>
      </x:c>
      <x:c r="B4" s="12" t="str">
        <x:v>Workstream</x:v>
      </x:c>
      <x:c r="C4" s="12" t="str">
        <x:v>Asset / Motion</x:v>
      </x:c>
      <x:c r="D4" s="12" t="str">
        <x:v>Perspective</x:v>
      </x:c>
      <x:c r="E4" s="12" t="str">
        <x:v>Variant / Direction</x:v>
      </x:c>
      <x:c r="F4" s="12" t="str">
        <x:v>Requirement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Deliverable / Format</x:v>
      </x:c>
      <x:c r="K4" s="12" t="str">
        <x:v>Acceptance Criteria</x:v>
      </x:c>
      <x:c r="L4" s="12" t="str">
        <x:v>VT2 Source Reference</x:v>
      </x:c>
      <x:c r="M4" s="12" t="str">
        <x:v>Notes</x:v>
      </x:c>
    </x:row>
    <x:row r="5" ht="46" customHeight="1">
      <x:c r="A5" s="23" t="str">
        <x:v>EXP-001</x:v>
      </x:c>
      <x:c r="B5" s="20" t="str">
        <x:v>Export contract</x:v>
      </x:c>
      <x:c r="C5" s="20" t="str">
        <x:v>Blender version</x:v>
      </x:c>
      <x:c r="D5" s="20" t="str">
        <x:v>Pipeline</x:v>
      </x:c>
      <x:c r="E5" s="20" t="str">
        <x:v>5.2.0</x:v>
      </x:c>
      <x:c r="F5" s="26" t="str">
        <x:v>Required</x:v>
      </x:c>
      <x:c r="G5" s="26" t="str">
        <x:v>P1</x:v>
      </x:c>
      <x:c r="H5" s="26" t="str">
        <x:v>Not Started</x:v>
      </x:c>
      <x:c r="I5" s="26" t="str">
        <x:v>Janfon + Engineering</x:v>
      </x:c>
      <x:c r="J5" s="20" t="str">
        <x:v>Validated source/export artifact</x:v>
      </x:c>
      <x:c r="K5" s="20" t="str">
        <x:v>Open, validate, and export with the supported Pusfume add-on under Blender 5.2.0.</x:v>
      </x:c>
      <x:c r="L5" s="20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5" s="20" t="str"/>
    </x:row>
    <x:row r="6" ht="46" customHeight="1">
      <x:c r="A6" s="24" t="str">
        <x:v>EXP-002</x:v>
      </x:c>
      <x:c r="B6" s="21" t="str">
        <x:v>Export contract</x:v>
      </x:c>
      <x:c r="C6" s="21" t="str">
        <x:v>Source preservation</x:v>
      </x:c>
      <x:c r="D6" s="21" t="str">
        <x:v>Pipeline</x:v>
      </x:c>
      <x:c r="E6" s="21" t="str">
        <x:v>.blend committed via Git LFS</x:v>
      </x:c>
      <x:c r="F6" s="27" t="str">
        <x:v>Required</x:v>
      </x:c>
      <x:c r="G6" s="27" t="str">
        <x:v>P1</x:v>
      </x:c>
      <x:c r="H6" s="27" t="str">
        <x:v>Not Started</x:v>
      </x:c>
      <x:c r="I6" s="27" t="str">
        <x:v>Janfon + Engineering</x:v>
      </x:c>
      <x:c r="J6" s="21" t="str">
        <x:v>Validated source/export artifact</x:v>
      </x:c>
      <x:c r="K6" s="21" t="str">
        <x:v>Never overwrite the authored source during cleanup or game export.</x:v>
      </x:c>
      <x:c r="L6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6" s="21" t="str"/>
    </x:row>
    <x:row r="7" ht="46" customHeight="1">
      <x:c r="A7" s="24" t="str">
        <x:v>EXP-003</x:v>
      </x:c>
      <x:c r="B7" s="21" t="str">
        <x:v>Export contract</x:v>
      </x:c>
      <x:c r="C7" s="21" t="str">
        <x:v>FBX version</x:v>
      </x:c>
      <x:c r="D7" s="21" t="str">
        <x:v>Pipeline</x:v>
      </x:c>
      <x:c r="E7" s="21" t="str">
        <x:v>Binary FBX 7.4 / 2014</x:v>
      </x:c>
      <x:c r="F7" s="27" t="str">
        <x:v>Required</x:v>
      </x:c>
      <x:c r="G7" s="27" t="str">
        <x:v>P1</x:v>
      </x:c>
      <x:c r="H7" s="27" t="str">
        <x:v>Not Started</x:v>
      </x:c>
      <x:c r="I7" s="27" t="str">
        <x:v>Janfon + Engineering</x:v>
      </x:c>
      <x:c r="J7" s="21" t="str">
        <x:v>Validated source/export artifact</x:v>
      </x:c>
      <x:c r="K7" s="21" t="str">
        <x:v>Importer accepts the file and reports expected meshes, bones, UVs, and actions.</x:v>
      </x:c>
      <x:c r="L7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7" s="21" t="str"/>
    </x:row>
    <x:row r="8" ht="46" customHeight="1">
      <x:c r="A8" s="24" t="str">
        <x:v>EXP-004</x:v>
      </x:c>
      <x:c r="B8" s="21" t="str">
        <x:v>Export contract</x:v>
      </x:c>
      <x:c r="C8" s="21" t="str">
        <x:v>Selection</x:v>
      </x:c>
      <x:c r="D8" s="21" t="str">
        <x:v>Pipeline</x:v>
      </x:c>
      <x:c r="E8" s="21" t="str">
        <x:v>Selected Objects only</x:v>
      </x:c>
      <x:c r="F8" s="27" t="str">
        <x:v>Required</x:v>
      </x:c>
      <x:c r="G8" s="27" t="str">
        <x:v>P1</x:v>
      </x:c>
      <x:c r="H8" s="27" t="str">
        <x:v>Not Started</x:v>
      </x:c>
      <x:c r="I8" s="27" t="str">
        <x:v>Janfon + Engineering</x:v>
      </x:c>
      <x:c r="J8" s="21" t="str">
        <x:v>Validated source/export artifact</x:v>
      </x:c>
      <x:c r="K8" s="21" t="str">
        <x:v>Export contains only intended meshes, armature, and required animation data.</x:v>
      </x:c>
      <x:c r="L8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8" s="21" t="str"/>
    </x:row>
    <x:row r="9" ht="46" customHeight="1">
      <x:c r="A9" s="24" t="str">
        <x:v>EXP-005</x:v>
      </x:c>
      <x:c r="B9" s="21" t="str">
        <x:v>Export contract</x:v>
      </x:c>
      <x:c r="C9" s="21" t="str">
        <x:v>Axes</x:v>
      </x:c>
      <x:c r="D9" s="21" t="str">
        <x:v>Pipeline</x:v>
      </x:c>
      <x:c r="E9" s="21" t="str">
        <x:v>Forward -Y; Up Z</x:v>
      </x:c>
      <x:c r="F9" s="27" t="str">
        <x:v>Required</x:v>
      </x:c>
      <x:c r="G9" s="27" t="str">
        <x:v>P1</x:v>
      </x:c>
      <x:c r="H9" s="27" t="str">
        <x:v>Not Started</x:v>
      </x:c>
      <x:c r="I9" s="27" t="str">
        <x:v>Janfon + Engineering</x:v>
      </x:c>
      <x:c r="J9" s="21" t="str">
        <x:v>Validated source/export artifact</x:v>
      </x:c>
      <x:c r="K9" s="21" t="str">
        <x:v>Round-trip orientation matches VT2/Stingray without corrective runtime rotation.</x:v>
      </x:c>
      <x:c r="L9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9" s="21" t="str"/>
    </x:row>
    <x:row r="10" ht="46" customHeight="1">
      <x:c r="A10" s="24" t="str">
        <x:v>EXP-006</x:v>
      </x:c>
      <x:c r="B10" s="21" t="str">
        <x:v>Export contract</x:v>
      </x:c>
      <x:c r="C10" s="21" t="str">
        <x:v>Unit scale</x:v>
      </x:c>
      <x:c r="D10" s="21" t="str">
        <x:v>Pipeline</x:v>
      </x:c>
      <x:c r="E10" s="21" t="str">
        <x:v>Meters; effective object scale 1</x:v>
      </x:c>
      <x:c r="F10" s="27" t="str">
        <x:v>Required</x:v>
      </x:c>
      <x:c r="G10" s="27" t="str">
        <x:v>P0</x:v>
      </x:c>
      <x:c r="H10" s="27" t="str">
        <x:v>Not Started</x:v>
      </x:c>
      <x:c r="I10" s="27" t="str">
        <x:v>Janfon + Engineering</x:v>
      </x:c>
      <x:c r="J10" s="21" t="str">
        <x:v>Validated source/export artifact</x:v>
      </x:c>
      <x:c r="K10" s="21" t="str">
        <x:v>Mesh, local bones, bind matrices, and compiled node transforms agree; no 100x compensation.</x:v>
      </x:c>
      <x:c r="L10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0" s="21" t="str"/>
    </x:row>
    <x:row r="11" ht="46" customHeight="1">
      <x:c r="A11" s="24" t="str">
        <x:v>EXP-007</x:v>
      </x:c>
      <x:c r="B11" s="21" t="str">
        <x:v>Export contract</x:v>
      </x:c>
      <x:c r="C11" s="21" t="str">
        <x:v>Root placement</x:v>
      </x:c>
      <x:c r="D11" s="21" t="str">
        <x:v>Pipeline</x:v>
      </x:c>
      <x:c r="E11" s="21" t="str">
        <x:v>Origin, unit scale, no unintended rotation</x:v>
      </x:c>
      <x:c r="F11" s="27" t="str">
        <x:v>Required</x:v>
      </x:c>
      <x:c r="G11" s="27" t="str">
        <x:v>P1</x:v>
      </x:c>
      <x:c r="H11" s="27" t="str">
        <x:v>Not Started</x:v>
      </x:c>
      <x:c r="I11" s="27" t="str">
        <x:v>Janfon + Engineering</x:v>
      </x:c>
      <x:c r="J11" s="21" t="str">
        <x:v>Validated source/export artifact</x:v>
      </x:c>
      <x:c r="K11" s="21" t="str">
        <x:v>Root starts at 0,0,0 and does not drift for in-place clips.</x:v>
      </x:c>
      <x:c r="L11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1" s="21" t="str"/>
    </x:row>
    <x:row r="12" ht="46" customHeight="1">
      <x:c r="A12" s="24" t="str">
        <x:v>EXP-008</x:v>
      </x:c>
      <x:c r="B12" s="21" t="str">
        <x:v>Export contract</x:v>
      </x:c>
      <x:c r="C12" s="21" t="str">
        <x:v>Transforms</x:v>
      </x:c>
      <x:c r="D12" s="21" t="str">
        <x:v>Pipeline</x:v>
      </x:c>
      <x:c r="E12" s="21" t="str">
        <x:v>Apply mesh/armature object transforms before final bind</x:v>
      </x:c>
      <x:c r="F12" s="27" t="str">
        <x:v>Required</x:v>
      </x:c>
      <x:c r="G12" s="27" t="str">
        <x:v>P1</x:v>
      </x:c>
      <x:c r="H12" s="27" t="str">
        <x:v>Not Started</x:v>
      </x:c>
      <x:c r="I12" s="27" t="str">
        <x:v>Janfon + Engineering</x:v>
      </x:c>
      <x:c r="J12" s="21" t="str">
        <x:v>Validated source/export artifact</x:v>
      </x:c>
      <x:c r="K12" s="21" t="str">
        <x:v>No non-uniform or negative scale remains on export objects.</x:v>
      </x:c>
      <x:c r="L12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2" s="21" t="str"/>
    </x:row>
    <x:row r="13" ht="46" customHeight="1">
      <x:c r="A13" s="24" t="str">
        <x:v>EXP-009</x:v>
      </x:c>
      <x:c r="B13" s="21" t="str">
        <x:v>Export contract</x:v>
      </x:c>
      <x:c r="C13" s="21" t="str">
        <x:v>Leaf bones</x:v>
      </x:c>
      <x:c r="D13" s="21" t="str">
        <x:v>Pipeline</x:v>
      </x:c>
      <x:c r="E13" s="21" t="str">
        <x:v>Disabled</x:v>
      </x:c>
      <x:c r="F13" s="27" t="str">
        <x:v>Required</x:v>
      </x:c>
      <x:c r="G13" s="27" t="str">
        <x:v>P1</x:v>
      </x:c>
      <x:c r="H13" s="27" t="str">
        <x:v>Not Started</x:v>
      </x:c>
      <x:c r="I13" s="27" t="str">
        <x:v>Janfon + Engineering</x:v>
      </x:c>
      <x:c r="J13" s="21" t="str">
        <x:v>Validated source/export artifact</x:v>
      </x:c>
      <x:c r="K13" s="21" t="str">
        <x:v>No synthetic end bones appear in the exported skeleton.</x:v>
      </x:c>
      <x:c r="L13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3" s="21" t="str"/>
    </x:row>
    <x:row r="14" ht="46" customHeight="1">
      <x:c r="A14" s="24" t="str">
        <x:v>EXP-010</x:v>
      </x:c>
      <x:c r="B14" s="21" t="str">
        <x:v>Export contract</x:v>
      </x:c>
      <x:c r="C14" s="21" t="str">
        <x:v>Deform bones</x:v>
      </x:c>
      <x:c r="D14" s="21" t="str">
        <x:v>Pipeline</x:v>
      </x:c>
      <x:c r="E14" s="21" t="str">
        <x:v>Only deform hierarchy exported to game</x:v>
      </x:c>
      <x:c r="F14" s="27" t="str">
        <x:v>Required</x:v>
      </x:c>
      <x:c r="G14" s="27" t="str">
        <x:v>P1</x:v>
      </x:c>
      <x:c r="H14" s="27" t="str">
        <x:v>Not Started</x:v>
      </x:c>
      <x:c r="I14" s="27" t="str">
        <x:v>Janfon + Engineering</x:v>
      </x:c>
      <x:c r="J14" s="21" t="str">
        <x:v>Validated source/export artifact</x:v>
      </x:c>
      <x:c r="K14" s="21" t="str">
        <x:v>Control/driver/helper bones are either excluded or explicitly approved.</x:v>
      </x:c>
      <x:c r="L14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4" s="21" t="str"/>
    </x:row>
    <x:row r="15" ht="46" customHeight="1">
      <x:c r="A15" s="24" t="str">
        <x:v>EXP-011</x:v>
      </x:c>
      <x:c r="B15" s="21" t="str">
        <x:v>Export contract</x:v>
      </x:c>
      <x:c r="C15" s="21" t="str">
        <x:v>Bone names</x:v>
      </x:c>
      <x:c r="D15" s="21" t="str">
        <x:v>Pipeline</x:v>
      </x:c>
      <x:c r="E15" s="21" t="str">
        <x:v>Exact VT2-compatible names</x:v>
      </x:c>
      <x:c r="F15" s="27" t="str">
        <x:v>Required</x:v>
      </x:c>
      <x:c r="G15" s="27" t="str">
        <x:v>P1</x:v>
      </x:c>
      <x:c r="H15" s="27" t="str">
        <x:v>Not Started</x:v>
      </x:c>
      <x:c r="I15" s="27" t="str">
        <x:v>Janfon + Engineering</x:v>
      </x:c>
      <x:c r="J15" s="21" t="str">
        <x:v>Validated source/export artifact</x:v>
      </x:c>
      <x:c r="K15" s="21" t="str">
        <x:v>Case, prefixes, left/right mapping, and hierarchy pass validator.</x:v>
      </x:c>
      <x:c r="L15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5" s="21" t="str"/>
    </x:row>
    <x:row r="16" ht="46" customHeight="1">
      <x:c r="A16" s="24" t="str">
        <x:v>EXP-012</x:v>
      </x:c>
      <x:c r="B16" s="21" t="str">
        <x:v>Export contract</x:v>
      </x:c>
      <x:c r="C16" s="21" t="str">
        <x:v>Rest pose</x:v>
      </x:c>
      <x:c r="D16" s="21" t="str">
        <x:v>Pipeline</x:v>
      </x:c>
      <x:c r="E16" s="21" t="str">
        <x:v>Canonical donor-compatible rest matrices</x:v>
      </x:c>
      <x:c r="F16" s="27" t="str">
        <x:v>Required</x:v>
      </x:c>
      <x:c r="G16" s="27" t="str">
        <x:v>P0</x:v>
      </x:c>
      <x:c r="H16" s="27" t="str">
        <x:v>Not Started</x:v>
      </x:c>
      <x:c r="I16" s="27" t="str">
        <x:v>Janfon + Engineering</x:v>
      </x:c>
      <x:c r="J16" s="21" t="str">
        <x:v>Validated source/export artifact</x:v>
      </x:c>
      <x:c r="K16" s="21" t="str">
        <x:v>All shared bones remain within 0.0001 matrix error after compile.</x:v>
      </x:c>
      <x:c r="L16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6" s="21" t="str"/>
    </x:row>
    <x:row r="17" ht="46" customHeight="1">
      <x:c r="A17" s="24" t="str">
        <x:v>EXP-013</x:v>
      </x:c>
      <x:c r="B17" s="21" t="str">
        <x:v>Export contract</x:v>
      </x:c>
      <x:c r="C17" s="21" t="str">
        <x:v>Animation rate</x:v>
      </x:c>
      <x:c r="D17" s="21" t="str">
        <x:v>Pipeline</x:v>
      </x:c>
      <x:c r="E17" s="21" t="str">
        <x:v>30 FPS canonical</x:v>
      </x:c>
      <x:c r="F17" s="27" t="str">
        <x:v>Required</x:v>
      </x:c>
      <x:c r="G17" s="27" t="str">
        <x:v>P1</x:v>
      </x:c>
      <x:c r="H17" s="27" t="str">
        <x:v>Not Started</x:v>
      </x:c>
      <x:c r="I17" s="27" t="str">
        <x:v>Janfon + Engineering</x:v>
      </x:c>
      <x:c r="J17" s="21" t="str">
        <x:v>Validated source/export artifact</x:v>
      </x:c>
      <x:c r="K17" s="21" t="str">
        <x:v>Clip duration and sample count match exported frames; no unintended resampling.</x:v>
      </x:c>
      <x:c r="L17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7" s="21" t="str"/>
    </x:row>
    <x:row r="18" ht="46" customHeight="1">
      <x:c r="A18" s="24" t="str">
        <x:v>EXP-014</x:v>
      </x:c>
      <x:c r="B18" s="21" t="str">
        <x:v>Export contract</x:v>
      </x:c>
      <x:c r="C18" s="21" t="str">
        <x:v>Animation baking</x:v>
      </x:c>
      <x:c r="D18" s="21" t="str">
        <x:v>Pipeline</x:v>
      </x:c>
      <x:c r="E18" s="21" t="str">
        <x:v>Bake authored deform motion</x:v>
      </x:c>
      <x:c r="F18" s="27" t="str">
        <x:v>Required</x:v>
      </x:c>
      <x:c r="G18" s="27" t="str">
        <x:v>P1</x:v>
      </x:c>
      <x:c r="H18" s="27" t="str">
        <x:v>Not Started</x:v>
      </x:c>
      <x:c r="I18" s="27" t="str">
        <x:v>Janfon + Engineering</x:v>
      </x:c>
      <x:c r="J18" s="21" t="str">
        <x:v>Validated source/export artifact</x:v>
      </x:c>
      <x:c r="K18" s="21" t="str">
        <x:v>Rotation and required translation channels survive without drivers/constraints at runtime.</x:v>
      </x:c>
      <x:c r="L18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8" s="21" t="str"/>
    </x:row>
    <x:row r="19" ht="46" customHeight="1">
      <x:c r="A19" s="24" t="str">
        <x:v>EXP-015</x:v>
      </x:c>
      <x:c r="B19" s="21" t="str">
        <x:v>Export contract</x:v>
      </x:c>
      <x:c r="C19" s="21" t="str">
        <x:v>NLA/actions</x:v>
      </x:c>
      <x:c r="D19" s="21" t="str">
        <x:v>Pipeline</x:v>
      </x:c>
      <x:c r="E19" s="21" t="str">
        <x:v>One canonical named action per exported clip</x:v>
      </x:c>
      <x:c r="F19" s="27" t="str">
        <x:v>Required</x:v>
      </x:c>
      <x:c r="G19" s="27" t="str">
        <x:v>P1</x:v>
      </x:c>
      <x:c r="H19" s="27" t="str">
        <x:v>Not Started</x:v>
      </x:c>
      <x:c r="I19" s="27" t="str">
        <x:v>Janfon + Engineering</x:v>
      </x:c>
      <x:c r="J19" s="21" t="str">
        <x:v>Validated source/export artifact</x:v>
      </x:c>
      <x:c r="K19" s="21" t="str">
        <x:v>No duplicate near-identical actions or accidental active action.</x:v>
      </x:c>
      <x:c r="L19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19" s="21" t="str"/>
    </x:row>
    <x:row r="20" ht="46" customHeight="1">
      <x:c r="A20" s="24" t="str">
        <x:v>EXP-016</x:v>
      </x:c>
      <x:c r="B20" s="21" t="str">
        <x:v>Export contract</x:v>
      </x:c>
      <x:c r="C20" s="21" t="str">
        <x:v>Loop clips</x:v>
      </x:c>
      <x:c r="D20" s="21" t="str">
        <x:v>Pipeline</x:v>
      </x:c>
      <x:c r="E20" s="21" t="str">
        <x:v>First/last pose continuity</x:v>
      </x:c>
      <x:c r="F20" s="27" t="str">
        <x:v>Required</x:v>
      </x:c>
      <x:c r="G20" s="27" t="str">
        <x:v>P1</x:v>
      </x:c>
      <x:c r="H20" s="27" t="str">
        <x:v>Not Started</x:v>
      </x:c>
      <x:c r="I20" s="27" t="str">
        <x:v>Janfon + Engineering</x:v>
      </x:c>
      <x:c r="J20" s="21" t="str">
        <x:v>Validated source/export artifact</x:v>
      </x:c>
      <x:c r="K20" s="21" t="str">
        <x:v>Position, rotation, and visible mesh deformation close without a pop.</x:v>
      </x:c>
      <x:c r="L20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0" s="21" t="str"/>
    </x:row>
    <x:row r="21" ht="46" customHeight="1">
      <x:c r="A21" s="24" t="str">
        <x:v>EXP-017</x:v>
      </x:c>
      <x:c r="B21" s="21" t="str">
        <x:v>Export contract</x:v>
      </x:c>
      <x:c r="C21" s="21" t="str">
        <x:v>Root motion</x:v>
      </x:c>
      <x:c r="D21" s="21" t="str">
        <x:v>Pipeline</x:v>
      </x:c>
      <x:c r="E21" s="21" t="str">
        <x:v>In-place unless explicitly specified</x:v>
      </x:c>
      <x:c r="F21" s="27" t="str">
        <x:v>Required</x:v>
      </x:c>
      <x:c r="G21" s="27" t="str">
        <x:v>P1</x:v>
      </x:c>
      <x:c r="H21" s="27" t="str">
        <x:v>Not Started</x:v>
      </x:c>
      <x:c r="I21" s="27" t="str">
        <x:v>Janfon + Engineering</x:v>
      </x:c>
      <x:c r="J21" s="21" t="str">
        <x:v>Validated source/export artifact</x:v>
      </x:c>
      <x:c r="K21" s="21" t="str">
        <x:v>Engine locomotion remains authoritative; exceptions are documented per clip.</x:v>
      </x:c>
      <x:c r="L21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1" s="21" t="str"/>
    </x:row>
    <x:row r="22" ht="46" customHeight="1">
      <x:c r="A22" s="24" t="str">
        <x:v>EXP-018</x:v>
      </x:c>
      <x:c r="B22" s="21" t="str">
        <x:v>Export contract</x:v>
      </x:c>
      <x:c r="C22" s="21" t="str">
        <x:v>Scale keys</x:v>
      </x:c>
      <x:c r="D22" s="21" t="str">
        <x:v>Pipeline</x:v>
      </x:c>
      <x:c r="E22" s="21" t="str">
        <x:v>No animated scale keys</x:v>
      </x:c>
      <x:c r="F22" s="27" t="str">
        <x:v>Required</x:v>
      </x:c>
      <x:c r="G22" s="27" t="str">
        <x:v>P1</x:v>
      </x:c>
      <x:c r="H22" s="27" t="str">
        <x:v>Not Started</x:v>
      </x:c>
      <x:c r="I22" s="27" t="str">
        <x:v>Janfon + Engineering</x:v>
      </x:c>
      <x:c r="J22" s="21" t="str">
        <x:v>Validated source/export artifact</x:v>
      </x:c>
      <x:c r="K22" s="21" t="str">
        <x:v>Scale channels are absent or exactly constant and validated before export.</x:v>
      </x:c>
      <x:c r="L22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2" s="21" t="str"/>
    </x:row>
    <x:row r="23" ht="46" customHeight="1">
      <x:c r="A23" s="24" t="str">
        <x:v>EXP-019</x:v>
      </x:c>
      <x:c r="B23" s="21" t="str">
        <x:v>Export contract</x:v>
      </x:c>
      <x:c r="C23" s="21" t="str">
        <x:v>Rotation interpolation</x:v>
      </x:c>
      <x:c r="D23" s="21" t="str">
        <x:v>Pipeline</x:v>
      </x:c>
      <x:c r="E23" s="21" t="str">
        <x:v>Stable quaternion/Euler bake</x:v>
      </x:c>
      <x:c r="F23" s="27" t="str">
        <x:v>Required</x:v>
      </x:c>
      <x:c r="G23" s="27" t="str">
        <x:v>P1</x:v>
      </x:c>
      <x:c r="H23" s="27" t="str">
        <x:v>Not Started</x:v>
      </x:c>
      <x:c r="I23" s="27" t="str">
        <x:v>Janfon + Engineering</x:v>
      </x:c>
      <x:c r="J23" s="21" t="str">
        <x:v>Validated source/export artifact</x:v>
      </x:c>
      <x:c r="K23" s="21" t="str">
        <x:v>No 180-degree flip, gimbal discontinuity, or left/right inversion.</x:v>
      </x:c>
      <x:c r="L23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3" s="21" t="str"/>
    </x:row>
    <x:row r="24" ht="46" customHeight="1">
      <x:c r="A24" s="24" t="str">
        <x:v>EXP-020</x:v>
      </x:c>
      <x:c r="B24" s="21" t="str">
        <x:v>Export contract</x:v>
      </x:c>
      <x:c r="C24" s="21" t="str">
        <x:v>Mesh triangulation</x:v>
      </x:c>
      <x:c r="D24" s="21" t="str">
        <x:v>Pipeline</x:v>
      </x:c>
      <x:c r="E24" s="21" t="str">
        <x:v>Triangulated final export</x:v>
      </x:c>
      <x:c r="F24" s="27" t="str">
        <x:v>Required</x:v>
      </x:c>
      <x:c r="G24" s="27" t="str">
        <x:v>P1</x:v>
      </x:c>
      <x:c r="H24" s="27" t="str">
        <x:v>Not Started</x:v>
      </x:c>
      <x:c r="I24" s="27" t="str">
        <x:v>Janfon + Engineering</x:v>
      </x:c>
      <x:c r="J24" s="21" t="str">
        <x:v>Validated source/export artifact</x:v>
      </x:c>
      <x:c r="K24" s="21" t="str">
        <x:v>Triangle count and material assignment are deterministic.</x:v>
      </x:c>
      <x:c r="L24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4" s="21" t="str"/>
    </x:row>
    <x:row r="25" ht="46" customHeight="1">
      <x:c r="A25" s="24" t="str">
        <x:v>EXP-021</x:v>
      </x:c>
      <x:c r="B25" s="21" t="str">
        <x:v>Export contract</x:v>
      </x:c>
      <x:c r="C25" s="21" t="str">
        <x:v>Custom normals</x:v>
      </x:c>
      <x:c r="D25" s="21" t="str">
        <x:v>Pipeline</x:v>
      </x:c>
      <x:c r="E25" s="21" t="str">
        <x:v>Preserved</x:v>
      </x:c>
      <x:c r="F25" s="27" t="str">
        <x:v>Required</x:v>
      </x:c>
      <x:c r="G25" s="27" t="str">
        <x:v>P1</x:v>
      </x:c>
      <x:c r="H25" s="27" t="str">
        <x:v>Not Started</x:v>
      </x:c>
      <x:c r="I25" s="27" t="str">
        <x:v>Janfon + Engineering</x:v>
      </x:c>
      <x:c r="J25" s="21" t="str">
        <x:v>Validated source/export artifact</x:v>
      </x:c>
      <x:c r="K25" s="21" t="str">
        <x:v>Hero-view lighting shows no unexpected hard edges or flipped tangents.</x:v>
      </x:c>
      <x:c r="L25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5" s="21" t="str"/>
    </x:row>
    <x:row r="26" ht="46" customHeight="1">
      <x:c r="A26" s="24" t="str">
        <x:v>EXP-022</x:v>
      </x:c>
      <x:c r="B26" s="21" t="str">
        <x:v>Export contract</x:v>
      </x:c>
      <x:c r="C26" s="21" t="str">
        <x:v>UV sets</x:v>
      </x:c>
      <x:c r="D26" s="21" t="str">
        <x:v>Pipeline</x:v>
      </x:c>
      <x:c r="E26" s="21" t="str">
        <x:v>One intentional UV set per current pipeline</x:v>
      </x:c>
      <x:c r="F26" s="27" t="str">
        <x:v>Required</x:v>
      </x:c>
      <x:c r="G26" s="27" t="str">
        <x:v>P1</x:v>
      </x:c>
      <x:c r="H26" s="27" t="str">
        <x:v>Not Started</x:v>
      </x:c>
      <x:c r="I26" s="27" t="str">
        <x:v>Janfon + Engineering</x:v>
      </x:c>
      <x:c r="J26" s="21" t="str">
        <x:v>Validated source/export artifact</x:v>
      </x:c>
      <x:c r="K26" s="21" t="str">
        <x:v>No empty/duplicate UV map; out-of-range islands are documented for atlas guards.</x:v>
      </x:c>
      <x:c r="L26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6" s="21" t="str"/>
    </x:row>
    <x:row r="27" ht="46" customHeight="1">
      <x:c r="A27" s="24" t="str">
        <x:v>EXP-023</x:v>
      </x:c>
      <x:c r="B27" s="21" t="str">
        <x:v>Export contract</x:v>
      </x:c>
      <x:c r="C27" s="21" t="str">
        <x:v>Weights</x:v>
      </x:c>
      <x:c r="D27" s="21" t="str">
        <x:v>Pipeline</x:v>
      </x:c>
      <x:c r="E27" s="21" t="str">
        <x:v>1-4 normalized influences per vertex</x:v>
      </x:c>
      <x:c r="F27" s="27" t="str">
        <x:v>Required</x:v>
      </x:c>
      <x:c r="G27" s="27" t="str">
        <x:v>P0</x:v>
      </x:c>
      <x:c r="H27" s="27" t="str">
        <x:v>Not Started</x:v>
      </x:c>
      <x:c r="I27" s="27" t="str">
        <x:v>Janfon + Engineering</x:v>
      </x:c>
      <x:c r="J27" s="21" t="str">
        <x:v>Validated source/export artifact</x:v>
      </x:c>
      <x:c r="K27" s="21" t="str">
        <x:v>No unweighted vertices; discarded weights remain below approved error threshold.</x:v>
      </x:c>
      <x:c r="L27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7" s="21" t="str"/>
    </x:row>
    <x:row r="28" ht="46" customHeight="1">
      <x:c r="A28" s="24" t="str">
        <x:v>EXP-024</x:v>
      </x:c>
      <x:c r="B28" s="21" t="str">
        <x:v>Export contract</x:v>
      </x:c>
      <x:c r="C28" s="21" t="str">
        <x:v>Material slots</x:v>
      </x:c>
      <x:c r="D28" s="21" t="str">
        <x:v>Pipeline</x:v>
      </x:c>
      <x:c r="E28" s="21" t="str">
        <x:v>Stable canonical names</x:v>
      </x:c>
      <x:c r="F28" s="27" t="str">
        <x:v>Required</x:v>
      </x:c>
      <x:c r="G28" s="27" t="str">
        <x:v>P1</x:v>
      </x:c>
      <x:c r="H28" s="27" t="str">
        <x:v>Not Started</x:v>
      </x:c>
      <x:c r="I28" s="27" t="str">
        <x:v>Janfon</x:v>
      </x:c>
      <x:c r="J28" s="21" t="str">
        <x:v>Validated source/export artifact</x:v>
      </x:c>
      <x:c r="K28" s="21" t="str">
        <x:v>Slots map deterministically to atlas/material recipes; no auto-renamed .001 suffixes.</x:v>
      </x:c>
      <x:c r="L28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8" s="21" t="str"/>
    </x:row>
    <x:row r="29" ht="46" customHeight="1">
      <x:c r="A29" s="24" t="str">
        <x:v>EXP-025</x:v>
      </x:c>
      <x:c r="B29" s="21" t="str">
        <x:v>Export contract</x:v>
      </x:c>
      <x:c r="C29" s="21" t="str">
        <x:v>Embedded media</x:v>
      </x:c>
      <x:c r="D29" s="21" t="str">
        <x:v>Pipeline</x:v>
      </x:c>
      <x:c r="E29" s="21" t="str">
        <x:v>Disabled</x:v>
      </x:c>
      <x:c r="F29" s="27" t="str">
        <x:v>Required</x:v>
      </x:c>
      <x:c r="G29" s="27" t="str">
        <x:v>P1</x:v>
      </x:c>
      <x:c r="H29" s="27" t="str">
        <x:v>Not Started</x:v>
      </x:c>
      <x:c r="I29" s="27" t="str">
        <x:v>Janfon + Engineering</x:v>
      </x:c>
      <x:c r="J29" s="21" t="str">
        <x:v>Validated source/export artifact</x:v>
      </x:c>
      <x:c r="K29" s="21" t="str">
        <x:v>Textures are delivered separately and not duplicated in FBX.</x:v>
      </x:c>
      <x:c r="L29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29" s="21" t="str"/>
    </x:row>
    <x:row r="30" ht="46" customHeight="1">
      <x:c r="A30" s="24" t="str">
        <x:v>EXP-026</x:v>
      </x:c>
      <x:c r="B30" s="21" t="str">
        <x:v>Export contract</x:v>
      </x:c>
      <x:c r="C30" s="21" t="str">
        <x:v>Texture source</x:v>
      </x:c>
      <x:c r="D30" s="21" t="str">
        <x:v>Pipeline</x:v>
      </x:c>
      <x:c r="E30" s="21" t="str">
        <x:v>Lossless PNG/TGA, semantic suffixes</x:v>
      </x:c>
      <x:c r="F30" s="27" t="str">
        <x:v>Required</x:v>
      </x:c>
      <x:c r="G30" s="27" t="str">
        <x:v>P1</x:v>
      </x:c>
      <x:c r="H30" s="27" t="str">
        <x:v>Not Started</x:v>
      </x:c>
      <x:c r="I30" s="27" t="str">
        <x:v>Janfon</x:v>
      </x:c>
      <x:c r="J30" s="21" t="str">
        <x:v>Validated source/export artifact</x:v>
      </x:c>
      <x:c r="K30" s="21" t="str">
        <x:v>Base color, normal/gloss, response, emissive, and alpha roles are explicit.</x:v>
      </x:c>
      <x:c r="L30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0" s="21" t="str"/>
    </x:row>
    <x:row r="31" ht="46" customHeight="1">
      <x:c r="A31" s="24" t="str">
        <x:v>EXP-027</x:v>
      </x:c>
      <x:c r="B31" s="21" t="str">
        <x:v>Export contract</x:v>
      </x:c>
      <x:c r="C31" s="21" t="str">
        <x:v>1p/3p separation</x:v>
      </x:c>
      <x:c r="D31" s="21" t="str">
        <x:v>Pipeline</x:v>
      </x:c>
      <x:c r="E31" s="21" t="str">
        <x:v>Separate character exports</x:v>
      </x:c>
      <x:c r="F31" s="27" t="str">
        <x:v>Required</x:v>
      </x:c>
      <x:c r="G31" s="27" t="str">
        <x:v>P1</x:v>
      </x:c>
      <x:c r="H31" s="27" t="str">
        <x:v>Not Started</x:v>
      </x:c>
      <x:c r="I31" s="27" t="str">
        <x:v>Janfon + Engineering</x:v>
      </x:c>
      <x:c r="J31" s="21" t="str">
        <x:v>Validated source/export artifact</x:v>
      </x:c>
      <x:c r="K31" s="21" t="str">
        <x:v>First-person arms exclude full body and third-person body excludes camera-only helpers.</x:v>
      </x:c>
      <x:c r="L31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1" s="21" t="str"/>
    </x:row>
    <x:row r="32" ht="46" customHeight="1">
      <x:c r="A32" s="24" t="str">
        <x:v>EXP-028</x:v>
      </x:c>
      <x:c r="B32" s="21" t="str">
        <x:v>Export contract</x:v>
      </x:c>
      <x:c r="C32" s="21" t="str">
        <x:v>Equipment separation</x:v>
      </x:c>
      <x:c r="D32" s="21" t="str">
        <x:v>Pipeline</x:v>
      </x:c>
      <x:c r="E32" s="21" t="str">
        <x:v>Separate weapon/prop units</x:v>
      </x:c>
      <x:c r="F32" s="27" t="str">
        <x:v>Required</x:v>
      </x:c>
      <x:c r="G32" s="27" t="str">
        <x:v>P1</x:v>
      </x:c>
      <x:c r="H32" s="27" t="str">
        <x:v>Not Started</x:v>
      </x:c>
      <x:c r="I32" s="27" t="str">
        <x:v>Janfon + Engineering</x:v>
      </x:c>
      <x:c r="J32" s="21" t="str">
        <x:v>Validated source/export artifact</x:v>
      </x:c>
      <x:c r="K32" s="21" t="str">
        <x:v>Bag, bomb, trap, hats, and weapons can be hidden/attached independently.</x:v>
      </x:c>
      <x:c r="L32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2" s="21" t="str"/>
    </x:row>
    <x:row r="33" ht="46" customHeight="1">
      <x:c r="A33" s="24" t="str">
        <x:v>EXP-029</x:v>
      </x:c>
      <x:c r="B33" s="21" t="str">
        <x:v>Export contract</x:v>
      </x:c>
      <x:c r="C33" s="21" t="str">
        <x:v>Ragdoll/physics separation</x:v>
      </x:c>
      <x:c r="D33" s="21" t="str">
        <x:v>Pipeline</x:v>
      </x:c>
      <x:c r="E33" s="21" t="str">
        <x:v>Documented game setup</x:v>
      </x:c>
      <x:c r="F33" s="27" t="str">
        <x:v>Required</x:v>
      </x:c>
      <x:c r="G33" s="27" t="str">
        <x:v>P1</x:v>
      </x:c>
      <x:c r="H33" s="27" t="str">
        <x:v>Not Started</x:v>
      </x:c>
      <x:c r="I33" s="27" t="str">
        <x:v>Janfon + Engineering</x:v>
      </x:c>
      <x:c r="J33" s="21" t="str">
        <x:v>Validated source/export artifact</x:v>
      </x:c>
      <x:c r="K33" s="21" t="str">
        <x:v>Render skeleton and physics/collision data agree without exporting Blender-only simulation.</x:v>
      </x:c>
      <x:c r="L33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3" s="21" t="str"/>
    </x:row>
    <x:row r="34" ht="46" customHeight="1">
      <x:c r="A34" s="24" t="str">
        <x:v>EXP-030</x:v>
      </x:c>
      <x:c r="B34" s="21" t="str">
        <x:v>Export contract</x:v>
      </x:c>
      <x:c r="C34" s="21" t="str">
        <x:v>File naming</x:v>
      </x:c>
      <x:c r="D34" s="21" t="str">
        <x:v>Pipeline</x:v>
      </x:c>
      <x:c r="E34" s="21" t="str">
        <x:v>snake_case; pusfume_[view]_[action]</x:v>
      </x:c>
      <x:c r="F34" s="27" t="str">
        <x:v>Required</x:v>
      </x:c>
      <x:c r="G34" s="27" t="str">
        <x:v>P1</x:v>
      </x:c>
      <x:c r="H34" s="27" t="str">
        <x:v>Not Started</x:v>
      </x:c>
      <x:c r="I34" s="27" t="str">
        <x:v>Janfon + Engineering</x:v>
      </x:c>
      <x:c r="J34" s="21" t="str">
        <x:v>Validated source/export artifact</x:v>
      </x:c>
      <x:c r="K34" s="21" t="str">
        <x:v>Names are stable, unique, ASCII, and match recipe/controller events.</x:v>
      </x:c>
      <x:c r="L34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4" s="21" t="str"/>
    </x:row>
    <x:row r="35" ht="46" customHeight="1">
      <x:c r="A35" s="24" t="str">
        <x:v>EXP-031</x:v>
      </x:c>
      <x:c r="B35" s="21" t="str">
        <x:v>Export contract</x:v>
      </x:c>
      <x:c r="C35" s="21" t="str">
        <x:v>Folder layout</x:v>
      </x:c>
      <x:c r="D35" s="21" t="str">
        <x:v>Pipeline</x:v>
      </x:c>
      <x:c r="E35" s="21" t="str">
        <x:v>art_source/, units/, textures/</x:v>
      </x:c>
      <x:c r="F35" s="27" t="str">
        <x:v>Required</x:v>
      </x:c>
      <x:c r="G35" s="27" t="str">
        <x:v>P1</x:v>
      </x:c>
      <x:c r="H35" s="27" t="str">
        <x:v>Not Started</x:v>
      </x:c>
      <x:c r="I35" s="27" t="str">
        <x:v>Janfon + Engineering</x:v>
      </x:c>
      <x:c r="J35" s="21" t="str">
        <x:v>Validated source/export artifact</x:v>
      </x:c>
      <x:c r="K35" s="21" t="str">
        <x:v>Handoff matches repository pipeline and Git LFS rules.</x:v>
      </x:c>
      <x:c r="L35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5" s="21" t="str"/>
    </x:row>
    <x:row r="36" ht="46" customHeight="1">
      <x:c r="A36" s="24" t="str">
        <x:v>EXP-032</x:v>
      </x:c>
      <x:c r="B36" s="21" t="str">
        <x:v>Export contract</x:v>
      </x:c>
      <x:c r="C36" s="21" t="str">
        <x:v>Validation pass</x:v>
      </x:c>
      <x:c r="D36" s="21" t="str">
        <x:v>Pipeline</x:v>
      </x:c>
      <x:c r="E36" s="21" t="str">
        <x:v>Run add-on validation before export</x:v>
      </x:c>
      <x:c r="F36" s="27" t="str">
        <x:v>Required</x:v>
      </x:c>
      <x:c r="G36" s="27" t="str">
        <x:v>P1</x:v>
      </x:c>
      <x:c r="H36" s="27" t="str">
        <x:v>Not Started</x:v>
      </x:c>
      <x:c r="I36" s="27" t="str">
        <x:v>Janfon + Engineering</x:v>
      </x:c>
      <x:c r="J36" s="21" t="str">
        <x:v>Validated source/export artifact</x:v>
      </x:c>
      <x:c r="K36" s="21" t="str">
        <x:v>Errors block export; warnings remain visible and actionable, never softlock the add-on.</x:v>
      </x:c>
      <x:c r="L36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6" s="21" t="str"/>
    </x:row>
    <x:row r="37" ht="46" customHeight="1">
      <x:c r="A37" s="24" t="str">
        <x:v>EXP-033</x:v>
      </x:c>
      <x:c r="B37" s="21" t="str">
        <x:v>Export contract</x:v>
      </x:c>
      <x:c r="C37" s="21" t="str">
        <x:v>Cleanup behavior</x:v>
      </x:c>
      <x:c r="D37" s="21" t="str">
        <x:v>Pipeline</x:v>
      </x:c>
      <x:c r="E37" s="21" t="str">
        <x:v>Non-destructive and recoverable</x:v>
      </x:c>
      <x:c r="F37" s="27" t="str">
        <x:v>Required</x:v>
      </x:c>
      <x:c r="G37" s="27" t="str">
        <x:v>P1</x:v>
      </x:c>
      <x:c r="H37" s="27" t="str">
        <x:v>Not Started</x:v>
      </x:c>
      <x:c r="I37" s="27" t="str">
        <x:v>Janfon + Engineering</x:v>
      </x:c>
      <x:c r="J37" s="21" t="str">
        <x:v>Validated source/export artifact</x:v>
      </x:c>
      <x:c r="K37" s="21" t="str">
        <x:v>Validation may propose/fix safe issues but never silently delete authored data.</x:v>
      </x:c>
      <x:c r="L37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7" s="21" t="str"/>
    </x:row>
    <x:row r="38" ht="46" customHeight="1">
      <x:c r="A38" s="24" t="str">
        <x:v>EXP-034</x:v>
      </x:c>
      <x:c r="B38" s="21" t="str">
        <x:v>Export contract</x:v>
      </x:c>
      <x:c r="C38" s="21" t="str">
        <x:v>Round-trip test</x:v>
      </x:c>
      <x:c r="D38" s="21" t="str">
        <x:v>Pipeline</x:v>
      </x:c>
      <x:c r="E38" s="21" t="str">
        <x:v>Re-import exported FBX into clean Blender scene</x:v>
      </x:c>
      <x:c r="F38" s="27" t="str">
        <x:v>Required</x:v>
      </x:c>
      <x:c r="G38" s="27" t="str">
        <x:v>P1</x:v>
      </x:c>
      <x:c r="H38" s="27" t="str">
        <x:v>Not Started</x:v>
      </x:c>
      <x:c r="I38" s="27" t="str">
        <x:v>Janfon + Engineering</x:v>
      </x:c>
      <x:c r="J38" s="21" t="str">
        <x:v>Validated source/export artifact</x:v>
      </x:c>
      <x:c r="K38" s="21" t="str">
        <x:v>Bone names, local lengths, materials, weights, actions, FPS, and bounds match expectations.</x:v>
      </x:c>
      <x:c r="L38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8" s="21" t="str"/>
    </x:row>
    <x:row r="39" ht="46" customHeight="1">
      <x:c r="A39" s="24" t="str">
        <x:v>EXP-035</x:v>
      </x:c>
      <x:c r="B39" s="21" t="str">
        <x:v>Export contract</x:v>
      </x:c>
      <x:c r="C39" s="21" t="str">
        <x:v>Compiler test</x:v>
      </x:c>
      <x:c r="D39" s="21" t="str">
        <x:v>Pipeline</x:v>
      </x:c>
      <x:c r="E39" s="21" t="str">
        <x:v>VT2 SDK compiler succeeds</x:v>
      </x:c>
      <x:c r="F39" s="27" t="str">
        <x:v>Required</x:v>
      </x:c>
      <x:c r="G39" s="27" t="str">
        <x:v>P1</x:v>
      </x:c>
      <x:c r="H39" s="27" t="str">
        <x:v>Not Started</x:v>
      </x:c>
      <x:c r="I39" s="27" t="str">
        <x:v>Janfon + Engineering</x:v>
      </x:c>
      <x:c r="J39" s="21" t="str">
        <x:v>Validated source/export artifact</x:v>
      </x:c>
      <x:c r="K39" s="21" t="str">
        <x:v>Unit, skeleton, animation, state machine, materials, and package compile without missing resources.</x:v>
      </x:c>
      <x:c r="L39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39" s="21" t="str"/>
    </x:row>
    <x:row r="40" ht="46" customHeight="1">
      <x:c r="A40" s="24" t="str">
        <x:v>EXP-036</x:v>
      </x:c>
      <x:c r="B40" s="21" t="str">
        <x:v>Export contract</x:v>
      </x:c>
      <x:c r="C40" s="21" t="str">
        <x:v>Rest-matrix test</x:v>
      </x:c>
      <x:c r="D40" s="21" t="str">
        <x:v>Pipeline</x:v>
      </x:c>
      <x:c r="E40" s="21" t="str">
        <x:v>validate_compiled_1p_rest.py / equivalent</x:v>
      </x:c>
      <x:c r="F40" s="27" t="str">
        <x:v>Required</x:v>
      </x:c>
      <x:c r="G40" s="27" t="str">
        <x:v>P1</x:v>
      </x:c>
      <x:c r="H40" s="27" t="str">
        <x:v>Not Started</x:v>
      </x:c>
      <x:c r="I40" s="27" t="str">
        <x:v>Janfon + Engineering</x:v>
      </x:c>
      <x:c r="J40" s="21" t="str">
        <x:v>Validated source/export artifact</x:v>
      </x:c>
      <x:c r="K40" s="21" t="str">
        <x:v>Compiled first-person nodes remain within tolerance of donor source.</x:v>
      </x:c>
      <x:c r="L40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40" s="21" t="str"/>
    </x:row>
    <x:row r="41" ht="46" customHeight="1">
      <x:c r="A41" s="24" t="str">
        <x:v>EXP-037</x:v>
      </x:c>
      <x:c r="B41" s="21" t="str">
        <x:v>Export contract</x:v>
      </x:c>
      <x:c r="C41" s="21" t="str">
        <x:v>Live animation test</x:v>
      </x:c>
      <x:c r="D41" s="21" t="str">
        <x:v>Pipeline</x:v>
      </x:c>
      <x:c r="E41" s="21" t="str">
        <x:v>Hero preview + 1p + 3p + remote client</x:v>
      </x:c>
      <x:c r="F41" s="27" t="str">
        <x:v>Required</x:v>
      </x:c>
      <x:c r="G41" s="27" t="str">
        <x:v>P0</x:v>
      </x:c>
      <x:c r="H41" s="27" t="str">
        <x:v>Not Started</x:v>
      </x:c>
      <x:c r="I41" s="27" t="str">
        <x:v>Janfon + Engineering</x:v>
      </x:c>
      <x:c r="J41" s="21" t="str">
        <x:v>Validated source/export artifact</x:v>
      </x:c>
      <x:c r="K41" s="21" t="str">
        <x:v>Actual skin deformation, not merely controller time, is visible in every context.</x:v>
      </x:c>
      <x:c r="L41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41" s="21" t="str"/>
    </x:row>
    <x:row r="42" ht="46" customHeight="1">
      <x:c r="A42" s="24" t="str">
        <x:v>EXP-038</x:v>
      </x:c>
      <x:c r="B42" s="21" t="str">
        <x:v>Export contract</x:v>
      </x:c>
      <x:c r="C42" s="21" t="str">
        <x:v>Material test</x:v>
      </x:c>
      <x:c r="D42" s="21" t="str">
        <x:v>Pipeline</x:v>
      </x:c>
      <x:c r="E42" s="21" t="str">
        <x:v>Bright and dark map lighting</x:v>
      </x:c>
      <x:c r="F42" s="27" t="str">
        <x:v>Required</x:v>
      </x:c>
      <x:c r="G42" s="27" t="str">
        <x:v>P1</x:v>
      </x:c>
      <x:c r="H42" s="27" t="str">
        <x:v>Not Started</x:v>
      </x:c>
      <x:c r="I42" s="27" t="str">
        <x:v>Janfon</x:v>
      </x:c>
      <x:c r="J42" s="21" t="str">
        <x:v>Validated source/export artifact</x:v>
      </x:c>
      <x:c r="K42" s="21" t="str">
        <x:v>No donor-green emissive, UV bleed, alpha tape, or overbright fur.</x:v>
      </x:c>
      <x:c r="L42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42" s="21" t="str"/>
    </x:row>
    <x:row r="43" ht="46" customHeight="1">
      <x:c r="A43" s="24" t="str">
        <x:v>EXP-039</x:v>
      </x:c>
      <x:c r="B43" s="21" t="str">
        <x:v>Export contract</x:v>
      </x:c>
      <x:c r="C43" s="21" t="str">
        <x:v>Performance test</x:v>
      </x:c>
      <x:c r="D43" s="21" t="str">
        <x:v>Pipeline</x:v>
      </x:c>
      <x:c r="E43" s="21" t="str">
        <x:v>Near/mid/far, hordes, remote clients</x:v>
      </x:c>
      <x:c r="F43" s="27" t="str">
        <x:v>Required</x:v>
      </x:c>
      <x:c r="G43" s="27" t="str">
        <x:v>P1</x:v>
      </x:c>
      <x:c r="H43" s="27" t="str">
        <x:v>Not Started</x:v>
      </x:c>
      <x:c r="I43" s="27" t="str">
        <x:v>Janfon + Engineering</x:v>
      </x:c>
      <x:c r="J43" s="21" t="str">
        <x:v>Validated source/export artifact</x:v>
      </x:c>
      <x:c r="K43" s="21" t="str">
        <x:v>No unacceptable CPU, GPU, memory, package-size, or hitch regression.</x:v>
      </x:c>
      <x:c r="L43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43" s="21" t="str"/>
    </x:row>
    <x:row r="44" ht="46" customHeight="1">
      <x:c r="A44" s="24" t="str">
        <x:v>EXP-040</x:v>
      </x:c>
      <x:c r="B44" s="21" t="str">
        <x:v>Export contract</x:v>
      </x:c>
      <x:c r="C44" s="21" t="str">
        <x:v>Handoff manifest</x:v>
      </x:c>
      <x:c r="D44" s="21" t="str">
        <x:v>Pipeline</x:v>
      </x:c>
      <x:c r="E44" s="21" t="str">
        <x:v>JSON/CSV plus workbook status</x:v>
      </x:c>
      <x:c r="F44" s="27" t="str">
        <x:v>Required</x:v>
      </x:c>
      <x:c r="G44" s="27" t="str">
        <x:v>P1</x:v>
      </x:c>
      <x:c r="H44" s="27" t="str">
        <x:v>Not Started</x:v>
      </x:c>
      <x:c r="I44" s="27" t="str">
        <x:v>Janfon + Engineering</x:v>
      </x:c>
      <x:c r="J44" s="21" t="str">
        <x:v>Validated source/export artifact</x:v>
      </x:c>
      <x:c r="K44" s="21" t="str">
        <x:v>Every delivered file has owner, version, source, license, checksum, and acceptance result.</x:v>
      </x:c>
      <x:c r="L44" s="21" t="str">
        <x:v>SRC-020: vt2-pusfume-1p/docs/ASSET_PIPELINE.md; SRC-026: vt2-pusfume-1p/tools/prepare_pusfume_1p_blend.py; SRC-025: vt2-pusfume-1p/tools/prepare_animated_pusfume_fbx.py; SRC-027: vt2-pusfume-1p/tools/Build-NativePusfume.ps1</x:v>
      </x:c>
      <x:c r="M44" s="21" t="str"/>
    </x:row>
    <x:row r="45" ht="46" customHeight="1">
      <x:c r="A45" s="24" t="str">
        <x:v>EXP-041</x:v>
      </x:c>
      <x:c r="B45" s="21" t="str">
        <x:v>External reference</x:v>
      </x:c>
      <x:c r="C45" s="21" t="str">
        <x:v>Autodesk Stingray character setup</x:v>
      </x:c>
      <x:c r="D45" s="21" t="str">
        <x:v>Pipeline</x:v>
      </x:c>
      <x:c r="E45" s="21" t="str">
        <x:v>Authoritative documentation</x:v>
      </x:c>
      <x:c r="F45" s="27" t="str">
        <x:v>Required</x:v>
      </x:c>
      <x:c r="G45" s="27" t="str">
        <x:v>P2</x:v>
      </x:c>
      <x:c r="H45" s="27" t="str">
        <x:v>Not Started</x:v>
      </x:c>
      <x:c r="I45" s="27" t="str">
        <x:v>Janfon + Engineering</x:v>
      </x:c>
      <x:c r="J45" s="21" t="str">
        <x:v>Read/reference</x:v>
      </x:c>
      <x:c r="K45" s="21" t="str">
        <x:v>Relevant constraints are incorporated into source scene, export preset, and validation evidence.</x:v>
      </x:c>
      <x:c r="L45" s="21" t="str">
        <x:v>https://help.autodesk.com/cloudhelp/ENU/Stingray-Help/stingray_help/animation/set_up_character.html</x:v>
      </x:c>
      <x:c r="M45" s="21" t="str">
        <x:v>Plain-text URL retained for auditability.</x:v>
      </x:c>
    </x:row>
    <x:row r="46" ht="46" customHeight="1">
      <x:c r="A46" s="24" t="str">
        <x:v>EXP-042</x:v>
      </x:c>
      <x:c r="B46" s="21" t="str">
        <x:v>External reference</x:v>
      </x:c>
      <x:c r="C46" s="21" t="str">
        <x:v>Autodesk Stingray animation controllers</x:v>
      </x:c>
      <x:c r="D46" s="21" t="str">
        <x:v>Pipeline</x:v>
      </x:c>
      <x:c r="E46" s="21" t="str">
        <x:v>Authoritative documentation</x:v>
      </x:c>
      <x:c r="F46" s="27" t="str">
        <x:v>Required</x:v>
      </x:c>
      <x:c r="G46" s="27" t="str">
        <x:v>P2</x:v>
      </x:c>
      <x:c r="H46" s="27" t="str">
        <x:v>Not Started</x:v>
      </x:c>
      <x:c r="I46" s="27" t="str">
        <x:v>Janfon + Engineering</x:v>
      </x:c>
      <x:c r="J46" s="21" t="str">
        <x:v>Read/reference</x:v>
      </x:c>
      <x:c r="K46" s="21" t="str">
        <x:v>Relevant constraints are incorporated into source scene, export preset, and validation evidence.</x:v>
      </x:c>
      <x:c r="L46" s="21" t="str">
        <x:v>https://help.autodesk.com/cloudhelp/ENU/Stingray-Help/stingray_help/animation/animation_controllers.html</x:v>
      </x:c>
      <x:c r="M46" s="21" t="str">
        <x:v>Plain-text URL retained for auditability.</x:v>
      </x:c>
    </x:row>
    <x:row r="47" ht="46" customHeight="1">
      <x:c r="A47" s="24" t="str">
        <x:v>EXP-043</x:v>
      </x:c>
      <x:c r="B47" s="21" t="str">
        <x:v>External reference</x:v>
      </x:c>
      <x:c r="C47" s="21" t="str">
        <x:v>Autodesk Stingray Unit Lua API</x:v>
      </x:c>
      <x:c r="D47" s="21" t="str">
        <x:v>Pipeline</x:v>
      </x:c>
      <x:c r="E47" s="21" t="str">
        <x:v>Authoritative documentation</x:v>
      </x:c>
      <x:c r="F47" s="27" t="str">
        <x:v>Required</x:v>
      </x:c>
      <x:c r="G47" s="27" t="str">
        <x:v>P2</x:v>
      </x:c>
      <x:c r="H47" s="27" t="str">
        <x:v>Not Started</x:v>
      </x:c>
      <x:c r="I47" s="27" t="str">
        <x:v>Janfon + Engineering</x:v>
      </x:c>
      <x:c r="J47" s="21" t="str">
        <x:v>Read/reference</x:v>
      </x:c>
      <x:c r="K47" s="21" t="str">
        <x:v>Relevant constraints are incorporated into source scene, export preset, and validation evidence.</x:v>
      </x:c>
      <x:c r="L47" s="21" t="str">
        <x:v>https://help.autodesk.com/cloudhelp/ENU/Stingray-Help/lua_ref/obj_stingray_Unit.html</x:v>
      </x:c>
      <x:c r="M47" s="21" t="str">
        <x:v>Plain-text URL retained for auditability.</x:v>
      </x:c>
    </x:row>
    <x:row r="48" ht="46" customHeight="1">
      <x:c r="A48" s="25" t="str">
        <x:v>EXP-044</x:v>
      </x:c>
      <x:c r="B48" s="22" t="str">
        <x:v>External reference</x:v>
      </x:c>
      <x:c r="C48" s="22" t="str">
        <x:v>Git LFS</x:v>
      </x:c>
      <x:c r="D48" s="22" t="str">
        <x:v>Pipeline</x:v>
      </x:c>
      <x:c r="E48" s="22" t="str">
        <x:v>Authoritative documentation</x:v>
      </x:c>
      <x:c r="F48" s="28" t="str">
        <x:v>Required</x:v>
      </x:c>
      <x:c r="G48" s="28" t="str">
        <x:v>P2</x:v>
      </x:c>
      <x:c r="H48" s="28" t="str">
        <x:v>Not Started</x:v>
      </x:c>
      <x:c r="I48" s="28" t="str">
        <x:v>Janfon + Engineering</x:v>
      </x:c>
      <x:c r="J48" s="22" t="str">
        <x:v>Read/reference</x:v>
      </x:c>
      <x:c r="K48" s="22" t="str">
        <x:v>Relevant constraints are incorporated into source scene, export preset, and validation evidence.</x:v>
      </x:c>
      <x:c r="L48" s="22" t="str">
        <x:v>https://git-lfs.com/</x:v>
      </x:c>
      <x:c r="M48" s="22" t="str">
        <x:v>Plain-text URL retained for auditability.</x:v>
      </x:c>
    </x:row>
  </x:sheetData>
  <x:mergeCells>
    <x:mergeCell ref="A1:M1"/>
    <x:mergeCell ref="A2:M2"/>
  </x:mergeCells>
  <x:conditionalFormatting sqref="H5:H48">
    <x:cfRule type="containsText" dxfId="36" priority="1" operator="containsText" text="Complete"/>
    <x:cfRule type="containsText" dxfId="37" priority="2" operator="containsText" text="In Progress"/>
    <x:cfRule type="containsText" dxfId="38" priority="3" operator="containsText" text="Prototype Ready"/>
    <x:cfRule type="containsText" dxfId="39" priority="4" operator="containsText" text="Blocked"/>
  </x:conditionalFormatting>
  <x:conditionalFormatting sqref="G5:G48">
    <x:cfRule type="containsText" dxfId="40" priority="5" operator="containsText" text="P0"/>
    <x:cfRule type="containsText" dxfId="41" priority="6" operator="containsText" text="P1"/>
  </x:conditionalFormatting>
  <x:dataValidations count="4">
    <x:dataValidation type="list" sqref="F5:F48">
      <x:formula1>"Required,Optional,Conditional"</x:formula1>
    </x:dataValidation>
    <x:dataValidation type="list" sqref="G5:G48">
      <x:formula1>"P0,P1,P2,P3"</x:formula1>
    </x:dataValidation>
    <x:dataValidation type="list" sqref="H5:H48">
      <x:formula1>"Not Started,In Progress,Ready for Review,Prototype Ready,Blocked,Complete,Not Applicable"</x:formula1>
    </x:dataValidation>
    <x:dataValidation type="list" sqref="I5:I48">
      <x:formula1>"Janfon,Engineering,Audio,VFX,Design,QA,Janfon + Engineering,Unassigned"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9b679fa0e440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6" hidden="0" customWidth="1"/>
    <x:col min="5" max="5" width="25" hidden="0" customWidth="1"/>
    <x:col min="6" max="6" width="14" hidden="0" customWidth="1"/>
    <x:col min="7" max="7" width="12" hidden="0" customWidth="1"/>
    <x:col min="8" max="8" width="19" hidden="0" customWidth="1"/>
    <x:col min="9" max="9" width="20" hidden="0" customWidth="1"/>
    <x:col min="10" max="10" width="31" hidden="0" customWidth="1"/>
    <x:col min="11" max="11" width="58" hidden="0" customWidth="1"/>
    <x:col min="12" max="12" width="58" hidden="0" customWidth="1"/>
    <x:col min="13" max="13" width="44" hidden="0" customWidth="1"/>
  </x:cols>
  <x:sheetData>
    <x:row r="1" ht="34" customHeight="1">
      <x:c r="A1" s="3" t="str">
        <x:v>Source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Auditable local references used to derive this workbook. Source IDs are repeated throughout the detailed checklists.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ID</x:v>
      </x:c>
      <x:c r="B4" s="12" t="str">
        <x:v>Workstream</x:v>
      </x:c>
      <x:c r="C4" s="12" t="str">
        <x:v>Asset / Motion</x:v>
      </x:c>
      <x:c r="D4" s="12" t="str">
        <x:v>Perspective</x:v>
      </x:c>
      <x:c r="E4" s="12" t="str">
        <x:v>Variant / Direction</x:v>
      </x:c>
      <x:c r="F4" s="12" t="str">
        <x:v>Requirement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Deliverable / Format</x:v>
      </x:c>
      <x:c r="K4" s="12" t="str">
        <x:v>Acceptance Criteria</x:v>
      </x:c>
      <x:c r="L4" s="12" t="str">
        <x:v>VT2 Source Reference</x:v>
      </x:c>
      <x:c r="M4" s="12" t="str">
        <x:v>Notes</x:v>
      </x:c>
    </x:row>
    <x:row r="5" ht="46" customHeight="1">
      <x:c r="A5" s="23" t="str">
        <x:v>SRC-001</x:v>
      </x:c>
      <x:c r="B5" s="20" t="str">
        <x:v>Source map</x:v>
      </x:c>
      <x:c r="C5" s="20" t="str">
        <x:v>Player character states</x:v>
      </x:c>
      <x:c r="D5" s="20" t="str">
        <x:v>Reference</x:v>
      </x:c>
      <x:c r="E5" s="20" t="str">
        <x:v>SRC-001</x:v>
      </x:c>
      <x:c r="F5" s="26" t="str">
        <x:v>Required</x:v>
      </x:c>
      <x:c r="G5" s="26" t="str">
        <x:v>P1</x:v>
      </x:c>
      <x:c r="H5" s="26" t="str">
        <x:v>Complete</x:v>
      </x:c>
      <x:c r="I5" s="26" t="str">
        <x:v>Engineering</x:v>
      </x:c>
      <x:c r="J5" s="20" t="str">
        <x:v>C:\Users\danjo\source\repos\Vermintide-2-Source-Code/scripts/unit_extensions/default_player_unit/states/</x:v>
      </x:c>
      <x:c r="K5" s="20" t="str">
        <x:v>31 concrete state files: standing, walking, dodging, jumping, falling, ladders, ledges, disabled, downed, dead, interaction, emote, transport.</x:v>
      </x:c>
      <x:c r="L5" s="20" t="str">
        <x:v>C:\Users\danjo\source\repos\Vermintide-2-Source-Code/scripts/unit_extensions/default_player_unit/states/</x:v>
      </x:c>
      <x:c r="M5" s="20" t="str">
        <x:v>Reviewed locally for this workbook.</x:v>
      </x:c>
    </x:row>
    <x:row r="6" ht="46" customHeight="1">
      <x:c r="A6" s="24" t="str">
        <x:v>SRC-002</x:v>
      </x:c>
      <x:c r="B6" s="21" t="str">
        <x:v>Source map</x:v>
      </x:c>
      <x:c r="C6" s="21" t="str">
        <x:v>First-person extension</x:v>
      </x:c>
      <x:c r="D6" s="21" t="str">
        <x:v>Reference</x:v>
      </x:c>
      <x:c r="E6" s="21" t="str">
        <x:v>SRC-002</x:v>
      </x:c>
      <x:c r="F6" s="27" t="str">
        <x:v>Required</x:v>
      </x:c>
      <x:c r="G6" s="27" t="str">
        <x:v>P1</x:v>
      </x:c>
      <x:c r="H6" s="27" t="str">
        <x:v>Complete</x:v>
      </x:c>
      <x:c r="I6" s="27" t="str">
        <x:v>Engineering</x:v>
      </x:c>
      <x:c r="J6" s="21" t="str">
        <x:v>C:\Users\danjo\source\repos\Vermintide-2-Source-Code/scripts/unit_extensions/default_player_unit/player_unit_first_person.lua</x:v>
      </x:c>
      <x:c r="K6" s="21" t="str">
        <x:v>First-person animation events, state changes, visibility, aim, camera rig, and jump handling.</x:v>
      </x:c>
      <x:c r="L6" s="21" t="str">
        <x:v>C:\Users\danjo\source\repos\Vermintide-2-Source-Code/scripts/unit_extensions/default_player_unit/player_unit_first_person.lua</x:v>
      </x:c>
      <x:c r="M6" s="21" t="str">
        <x:v>Reviewed locally for this workbook.</x:v>
      </x:c>
    </x:row>
    <x:row r="7" ht="46" customHeight="1">
      <x:c r="A7" s="24" t="str">
        <x:v>SRC-003</x:v>
      </x:c>
      <x:c r="B7" s="21" t="str">
        <x:v>Source map</x:v>
      </x:c>
      <x:c r="C7" s="21" t="str">
        <x:v>Character state helper</x:v>
      </x:c>
      <x:c r="D7" s="21" t="str">
        <x:v>Reference</x:v>
      </x:c>
      <x:c r="E7" s="21" t="str">
        <x:v>SRC-003</x:v>
      </x:c>
      <x:c r="F7" s="27" t="str">
        <x:v>Required</x:v>
      </x:c>
      <x:c r="G7" s="27" t="str">
        <x:v>P1</x:v>
      </x:c>
      <x:c r="H7" s="27" t="str">
        <x:v>Complete</x:v>
      </x:c>
      <x:c r="I7" s="27" t="str">
        <x:v>Engineering</x:v>
      </x:c>
      <x:c r="J7" s="21" t="str">
        <x:v>C:\Users\danjo\source\repos\Vermintide-2-Source-Code/scripts/unit_extensions/default_player_unit/states/player_character_state_helper.lua</x:v>
      </x:c>
      <x:c r="K7" s="21" t="str">
        <x:v>Shared first/third-person animation dispatch and movement helpers.</x:v>
      </x:c>
      <x:c r="L7" s="21" t="str">
        <x:v>C:\Users\danjo\source\repos\Vermintide-2-Source-Code/scripts/unit_extensions/default_player_unit/states/player_character_state_helper.lua</x:v>
      </x:c>
      <x:c r="M7" s="21" t="str">
        <x:v>Reviewed locally for this workbook.</x:v>
      </x:c>
    </x:row>
    <x:row r="8" ht="46" customHeight="1">
      <x:c r="A8" s="24" t="str">
        <x:v>SRC-004</x:v>
      </x:c>
      <x:c r="B8" s="21" t="str">
        <x:v>Source map</x:v>
      </x:c>
      <x:c r="C8" s="21" t="str">
        <x:v>Base career settings</x:v>
      </x:c>
      <x:c r="D8" s="21" t="str">
        <x:v>Reference</x:v>
      </x:c>
      <x:c r="E8" s="21" t="str">
        <x:v>SRC-004</x:v>
      </x:c>
      <x:c r="F8" s="27" t="str">
        <x:v>Required</x:v>
      </x:c>
      <x:c r="G8" s="27" t="str">
        <x:v>P1</x:v>
      </x:c>
      <x:c r="H8" s="27" t="str">
        <x:v>Complete</x:v>
      </x:c>
      <x:c r="I8" s="27" t="str">
        <x:v>Engineering</x:v>
      </x:c>
      <x:c r="J8" s="21" t="str">
        <x:v>C:\Users\danjo\source\repos\Vermintide-2-Source-Code/scripts/settings/profiles/career_settings.lua</x:v>
      </x:c>
      <x:c r="K8" s="21" t="str">
        <x:v>Career display name, portraits, profile name, sound character, preview idle animation, talents, passives, and ability data.</x:v>
      </x:c>
      <x:c r="L8" s="21" t="str">
        <x:v>C:\Users\danjo\source\repos\Vermintide-2-Source-Code/scripts/settings/profiles/career_settings.lua</x:v>
      </x:c>
      <x:c r="M8" s="21" t="str">
        <x:v>Reviewed locally for this workbook.</x:v>
      </x:c>
    </x:row>
    <x:row r="9" ht="46" customHeight="1">
      <x:c r="A9" s="24" t="str">
        <x:v>SRC-005</x:v>
      </x:c>
      <x:c r="B9" s="21" t="str">
        <x:v>Source map</x:v>
      </x:c>
      <x:c r="C9" s="21" t="str">
        <x:v>Versus career settings</x:v>
      </x:c>
      <x:c r="D9" s="21" t="str">
        <x:v>Reference</x:v>
      </x:c>
      <x:c r="E9" s="21" t="str">
        <x:v>SRC-005</x:v>
      </x:c>
      <x:c r="F9" s="27" t="str">
        <x:v>Required</x:v>
      </x:c>
      <x:c r="G9" s="27" t="str">
        <x:v>P1</x:v>
      </x:c>
      <x:c r="H9" s="27" t="str">
        <x:v>Complete</x:v>
      </x:c>
      <x:c r="I9" s="27" t="str">
        <x:v>Engineering</x:v>
      </x:c>
      <x:c r="J9" s="21" t="str">
        <x:v>C:\Users\danjo\source\repos\Vermintide-2-Source-Code/scripts/settings/profiles/career_settings_vs.lua</x:v>
      </x:c>
      <x:c r="K9" s="21" t="str">
        <x:v>Playable rat career precedent, including Globadier portrait, preview idle, profile and sound routing.</x:v>
      </x:c>
      <x:c r="L9" s="21" t="str">
        <x:v>C:\Users\danjo\source\repos\Vermintide-2-Source-Code/scripts/settings/profiles/career_settings_vs.lua</x:v>
      </x:c>
      <x:c r="M9" s="21" t="str">
        <x:v>Reviewed locally for this workbook.</x:v>
      </x:c>
    </x:row>
    <x:row r="10" ht="46" customHeight="1">
      <x:c r="A10" s="24" t="str">
        <x:v>SRC-006</x:v>
      </x:c>
      <x:c r="B10" s="21" t="str">
        <x:v>Source map</x:v>
      </x:c>
      <x:c r="C10" s="21" t="str">
        <x:v>Hero profiles</x:v>
      </x:c>
      <x:c r="D10" s="21" t="str">
        <x:v>Reference</x:v>
      </x:c>
      <x:c r="E10" s="21" t="str">
        <x:v>SRC-006</x:v>
      </x:c>
      <x:c r="F10" s="27" t="str">
        <x:v>Required</x:v>
      </x:c>
      <x:c r="G10" s="27" t="str">
        <x:v>P1</x:v>
      </x:c>
      <x:c r="H10" s="27" t="str">
        <x:v>Complete</x:v>
      </x:c>
      <x:c r="I10" s="27" t="str">
        <x:v>Engineering</x:v>
      </x:c>
      <x:c r="J10" s="21" t="str">
        <x:v>C:\Users\danjo\source\repos\Vermintide-2-Source-Code/scripts/settings/profiles/sp_profiles.lua</x:v>
      </x:c>
      <x:c r="K10" s="21" t="str">
        <x:v>Hero identity, ingame names, career registration, character/camera state validation.</x:v>
      </x:c>
      <x:c r="L10" s="21" t="str">
        <x:v>C:\Users\danjo\source\repos\Vermintide-2-Source-Code/scripts/settings/profiles/sp_profiles.lua</x:v>
      </x:c>
      <x:c r="M10" s="21" t="str">
        <x:v>Reviewed locally for this workbook.</x:v>
      </x:c>
    </x:row>
    <x:row r="11" ht="46" customHeight="1">
      <x:c r="A11" s="24" t="str">
        <x:v>SRC-007</x:v>
      </x:c>
      <x:c r="B11" s="21" t="str">
        <x:v>Source map</x:v>
      </x:c>
      <x:c r="C11" s="21" t="str">
        <x:v>Versus profiles</x:v>
      </x:c>
      <x:c r="D11" s="21" t="str">
        <x:v>Reference</x:v>
      </x:c>
      <x:c r="E11" s="21" t="str">
        <x:v>SRC-007</x:v>
      </x:c>
      <x:c r="F11" s="27" t="str">
        <x:v>Required</x:v>
      </x:c>
      <x:c r="G11" s="27" t="str">
        <x:v>P1</x:v>
      </x:c>
      <x:c r="H11" s="27" t="str">
        <x:v>Complete</x:v>
      </x:c>
      <x:c r="I11" s="27" t="str">
        <x:v>Engineering</x:v>
      </x:c>
      <x:c r="J11" s="21" t="str">
        <x:v>C:\Users\danjo\source\repos\Vermintide-2-Source-Code/scripts/settings/profiles/vs_profiles.lua</x:v>
      </x:c>
      <x:c r="K11" s="21" t="str">
        <x:v>Playable Globadier character_vo, display names, base units and career association.</x:v>
      </x:c>
      <x:c r="L11" s="21" t="str">
        <x:v>C:\Users\danjo\source\repos\Vermintide-2-Source-Code/scripts/settings/profiles/vs_profiles.lua</x:v>
      </x:c>
      <x:c r="M11" s="21" t="str">
        <x:v>Reviewed locally for this workbook.</x:v>
      </x:c>
    </x:row>
    <x:row r="12" ht="46" customHeight="1">
      <x:c r="A12" s="24" t="str">
        <x:v>SRC-008</x:v>
      </x:c>
      <x:c r="B12" s="21" t="str">
        <x:v>Source map</x:v>
      </x:c>
      <x:c r="C12" s="21" t="str">
        <x:v>Cosmetics</x:v>
      </x:c>
      <x:c r="D12" s="21" t="str">
        <x:v>Reference</x:v>
      </x:c>
      <x:c r="E12" s="21" t="str">
        <x:v>SRC-008</x:v>
      </x:c>
      <x:c r="F12" s="27" t="str">
        <x:v>Required</x:v>
      </x:c>
      <x:c r="G12" s="27" t="str">
        <x:v>P1</x:v>
      </x:c>
      <x:c r="H12" s="27" t="str">
        <x:v>Complete</x:v>
      </x:c>
      <x:c r="I12" s="27" t="str">
        <x:v>Engineering</x:v>
      </x:c>
      <x:c r="J12" s="21" t="str">
        <x:v>C:\Users\danjo\source\repos\Vermintide-2-Source-Code/scripts/settings/equipment/cosmetics.lua</x:v>
      </x:c>
      <x:c r="K12" s="21" t="str">
        <x:v>Separate 1p/3p units, attachments, material changes, skins, and cosmetic package references.</x:v>
      </x:c>
      <x:c r="L12" s="21" t="str">
        <x:v>C:\Users\danjo\source\repos\Vermintide-2-Source-Code/scripts/settings/equipment/cosmetics.lua</x:v>
      </x:c>
      <x:c r="M12" s="21" t="str">
        <x:v>Reviewed locally for this workbook.</x:v>
      </x:c>
    </x:row>
    <x:row r="13" ht="46" customHeight="1">
      <x:c r="A13" s="24" t="str">
        <x:v>SRC-009</x:v>
      </x:c>
      <x:c r="B13" s="21" t="str">
        <x:v>Source map</x:v>
      </x:c>
      <x:c r="C13" s="21" t="str">
        <x:v>Weapon templates</x:v>
      </x:c>
      <x:c r="D13" s="21" t="str">
        <x:v>Reference</x:v>
      </x:c>
      <x:c r="E13" s="21" t="str">
        <x:v>SRC-009</x:v>
      </x:c>
      <x:c r="F13" s="27" t="str">
        <x:v>Required</x:v>
      </x:c>
      <x:c r="G13" s="27" t="str">
        <x:v>P1</x:v>
      </x:c>
      <x:c r="H13" s="27" t="str">
        <x:v>Complete</x:v>
      </x:c>
      <x:c r="I13" s="27" t="str">
        <x:v>Engineering</x:v>
      </x:c>
      <x:c r="J13" s="21" t="str">
        <x:v>C:\Users\danjo\source\repos\Vermintide-2-Source-Code/scripts/settings/equipment/weapon_templates/</x:v>
      </x:c>
      <x:c r="K13" s="21" t="str">
        <x:v>Attack, charge, block, push, parry, aim, fire, reload, throw and 3p animation-event contracts.</x:v>
      </x:c>
      <x:c r="L13" s="21" t="str">
        <x:v>C:\Users\danjo\source\repos\Vermintide-2-Source-Code/scripts/settings/equipment/weapon_templates/</x:v>
      </x:c>
      <x:c r="M13" s="21" t="str">
        <x:v>Reviewed locally for this workbook.</x:v>
      </x:c>
    </x:row>
    <x:row r="14" ht="46" customHeight="1">
      <x:c r="A14" s="24" t="str">
        <x:v>SRC-010</x:v>
      </x:c>
      <x:c r="B14" s="21" t="str">
        <x:v>Source map</x:v>
      </x:c>
      <x:c r="C14" s="21" t="str">
        <x:v>HUD UI</x:v>
      </x:c>
      <x:c r="D14" s="21" t="str">
        <x:v>Reference</x:v>
      </x:c>
      <x:c r="E14" s="21" t="str">
        <x:v>SRC-010</x:v>
      </x:c>
      <x:c r="F14" s="27" t="str">
        <x:v>Required</x:v>
      </x:c>
      <x:c r="G14" s="27" t="str">
        <x:v>P1</x:v>
      </x:c>
      <x:c r="H14" s="27" t="str">
        <x:v>Complete</x:v>
      </x:c>
      <x:c r="I14" s="27" t="str">
        <x:v>Engineering</x:v>
      </x:c>
      <x:c r="J14" s="21" t="str">
        <x:v>C:\Users\danjo\source\repos\Vermintide-2-Source-Code/scripts/ui/hud_ui/</x:v>
      </x:c>
      <x:c r="K14" s="21" t="str">
        <x:v>Unit frames, portraits, ability UI, buffs, interactions, world markers, scoreboard and Versus HUD components.</x:v>
      </x:c>
      <x:c r="L14" s="21" t="str">
        <x:v>C:\Users\danjo\source\repos\Vermintide-2-Source-Code/scripts/ui/hud_ui/</x:v>
      </x:c>
      <x:c r="M14" s="21" t="str">
        <x:v>Reviewed locally for this workbook.</x:v>
      </x:c>
    </x:row>
    <x:row r="15" ht="46" customHeight="1">
      <x:c r="A15" s="24" t="str">
        <x:v>SRC-011</x:v>
      </x:c>
      <x:c r="B15" s="21" t="str">
        <x:v>Source map</x:v>
      </x:c>
      <x:c r="C15" s="21" t="str">
        <x:v>Hero view</x:v>
      </x:c>
      <x:c r="D15" s="21" t="str">
        <x:v>Reference</x:v>
      </x:c>
      <x:c r="E15" s="21" t="str">
        <x:v>SRC-011</x:v>
      </x:c>
      <x:c r="F15" s="27" t="str">
        <x:v>Required</x:v>
      </x:c>
      <x:c r="G15" s="27" t="str">
        <x:v>P1</x:v>
      </x:c>
      <x:c r="H15" s="27" t="str">
        <x:v>Complete</x:v>
      </x:c>
      <x:c r="I15" s="27" t="str">
        <x:v>Engineering</x:v>
      </x:c>
      <x:c r="J15" s="21" t="str">
        <x:v>C:\Users\danjo\source\repos\Vermintide-2-Source-Code/scripts/ui/views/hero_view/</x:v>
      </x:c>
      <x:c r="K15" s="21" t="str">
        <x:v>Hero/career selection, inventory, cosmetics, talents, preview model and menu presentation.</x:v>
      </x:c>
      <x:c r="L15" s="21" t="str">
        <x:v>C:\Users\danjo\source\repos\Vermintide-2-Source-Code/scripts/ui/views/hero_view/</x:v>
      </x:c>
      <x:c r="M15" s="21" t="str">
        <x:v>Reviewed locally for this workbook.</x:v>
      </x:c>
    </x:row>
    <x:row r="16" ht="46" customHeight="1">
      <x:c r="A16" s="24" t="str">
        <x:v>SRC-012</x:v>
      </x:c>
      <x:c r="B16" s="21" t="str">
        <x:v>Source map</x:v>
      </x:c>
      <x:c r="C16" s="21" t="str">
        <x:v>Talent system/UI</x:v>
      </x:c>
      <x:c r="D16" s="21" t="str">
        <x:v>Reference</x:v>
      </x:c>
      <x:c r="E16" s="21" t="str">
        <x:v>SRC-012</x:v>
      </x:c>
      <x:c r="F16" s="27" t="str">
        <x:v>Required</x:v>
      </x:c>
      <x:c r="G16" s="27" t="str">
        <x:v>P1</x:v>
      </x:c>
      <x:c r="H16" s="27" t="str">
        <x:v>Complete</x:v>
      </x:c>
      <x:c r="I16" s="27" t="str">
        <x:v>Engineering</x:v>
      </x:c>
      <x:c r="J16" s="21" t="str">
        <x:v>C:\Users\danjo\source\repos\Vermintide-2-Source-Code/scripts/managers/talents/</x:v>
      </x:c>
      <x:c r="K16" s="21" t="str">
        <x:v>Talent tiers/settings and presentation expectations.</x:v>
      </x:c>
      <x:c r="L16" s="21" t="str">
        <x:v>C:\Users\danjo\source\repos\Vermintide-2-Source-Code/scripts/managers/talents/</x:v>
      </x:c>
      <x:c r="M16" s="21" t="str">
        <x:v>Reviewed locally for this workbook.</x:v>
      </x:c>
    </x:row>
    <x:row r="17" ht="46" customHeight="1">
      <x:c r="A17" s="24" t="str">
        <x:v>SRC-013</x:v>
      </x:c>
      <x:c r="B17" s="21" t="str">
        <x:v>Source map</x:v>
      </x:c>
      <x:c r="C17" s="21" t="str">
        <x:v>Dialogue settings</x:v>
      </x:c>
      <x:c r="D17" s="21" t="str">
        <x:v>Reference</x:v>
      </x:c>
      <x:c r="E17" s="21" t="str">
        <x:v>SRC-013</x:v>
      </x:c>
      <x:c r="F17" s="27" t="str">
        <x:v>Required</x:v>
      </x:c>
      <x:c r="G17" s="27" t="str">
        <x:v>P1</x:v>
      </x:c>
      <x:c r="H17" s="27" t="str">
        <x:v>Complete</x:v>
      </x:c>
      <x:c r="I17" s="27" t="str">
        <x:v>Engineering</x:v>
      </x:c>
      <x:c r="J17" s="21" t="str">
        <x:v>C:\Users\danjo\source\repos\Vermintide-2-Source-Code/scripts/settings/dialogue_settings.lua</x:v>
      </x:c>
      <x:c r="K17" s="21" t="str">
        <x:v>Dialogue/VO system configuration and character routing context.</x:v>
      </x:c>
      <x:c r="L17" s="21" t="str">
        <x:v>C:\Users\danjo\source\repos\Vermintide-2-Source-Code/scripts/settings/dialogue_settings.lua</x:v>
      </x:c>
      <x:c r="M17" s="21" t="str">
        <x:v>Reviewed locally for this workbook.</x:v>
      </x:c>
    </x:row>
    <x:row r="18" ht="46" customHeight="1">
      <x:c r="A18" s="24" t="str">
        <x:v>SRC-014</x:v>
      </x:c>
      <x:c r="B18" s="21" t="str">
        <x:v>Source map</x:v>
      </x:c>
      <x:c r="C18" s="21" t="str">
        <x:v>Interactions</x:v>
      </x:c>
      <x:c r="D18" s="21" t="str">
        <x:v>Reference</x:v>
      </x:c>
      <x:c r="E18" s="21" t="str">
        <x:v>SRC-014</x:v>
      </x:c>
      <x:c r="F18" s="27" t="str">
        <x:v>Required</x:v>
      </x:c>
      <x:c r="G18" s="27" t="str">
        <x:v>P1</x:v>
      </x:c>
      <x:c r="H18" s="27" t="str">
        <x:v>Complete</x:v>
      </x:c>
      <x:c r="I18" s="27" t="str">
        <x:v>Engineering</x:v>
      </x:c>
      <x:c r="J18" s="21" t="str">
        <x:v>C:\Users\danjo\source\repos\Vermintide-2-Source-Code/scripts/unit_extensions/generic/interactions.lua</x:v>
      </x:c>
      <x:c r="K18" s="21" t="str">
        <x:v>Interaction types, timings, completion/cancel behavior and HUD prompts.</x:v>
      </x:c>
      <x:c r="L18" s="21" t="str">
        <x:v>C:\Users\danjo\source\repos\Vermintide-2-Source-Code/scripts/unit_extensions/generic/interactions.lua</x:v>
      </x:c>
      <x:c r="M18" s="21" t="str">
        <x:v>Reviewed locally for this workbook.</x:v>
      </x:c>
    </x:row>
    <x:row r="19" ht="46" customHeight="1">
      <x:c r="A19" s="24" t="str">
        <x:v>SRC-015</x:v>
      </x:c>
      <x:c r="B19" s="21" t="str">
        <x:v>Source map</x:v>
      </x:c>
      <x:c r="C19" s="21" t="str">
        <x:v>Locomotion helpers</x:v>
      </x:c>
      <x:c r="D19" s="21" t="str">
        <x:v>Reference</x:v>
      </x:c>
      <x:c r="E19" s="21" t="str">
        <x:v>SRC-015</x:v>
      </x:c>
      <x:c r="F19" s="27" t="str">
        <x:v>Required</x:v>
      </x:c>
      <x:c r="G19" s="27" t="str">
        <x:v>P1</x:v>
      </x:c>
      <x:c r="H19" s="27" t="str">
        <x:v>Complete</x:v>
      </x:c>
      <x:c r="I19" s="27" t="str">
        <x:v>Engineering</x:v>
      </x:c>
      <x:c r="J19" s="21" t="str">
        <x:v>C:\Users\danjo\source\repos\Vermintide-2-Source-Code/scripts/helpers/locomotion_utils.lua</x:v>
      </x:c>
      <x:c r="K19" s="21" t="str">
        <x:v>Movement direction/speed helpers used by player states.</x:v>
      </x:c>
      <x:c r="L19" s="21" t="str">
        <x:v>C:\Users\danjo\source\repos\Vermintide-2-Source-Code/scripts/helpers/locomotion_utils.lua</x:v>
      </x:c>
      <x:c r="M19" s="21" t="str">
        <x:v>Reviewed locally for this workbook.</x:v>
      </x:c>
    </x:row>
    <x:row r="20" ht="46" customHeight="1">
      <x:c r="A20" s="24" t="str">
        <x:v>SRC-016</x:v>
      </x:c>
      <x:c r="B20" s="21" t="str">
        <x:v>Source map</x:v>
      </x:c>
      <x:c r="C20" s="21" t="str">
        <x:v>Base units</x:v>
      </x:c>
      <x:c r="D20" s="21" t="str">
        <x:v>Reference</x:v>
      </x:c>
      <x:c r="E20" s="21" t="str">
        <x:v>SRC-016</x:v>
      </x:c>
      <x:c r="F20" s="27" t="str">
        <x:v>Required</x:v>
      </x:c>
      <x:c r="G20" s="27" t="str">
        <x:v>P1</x:v>
      </x:c>
      <x:c r="H20" s="27" t="str">
        <x:v>Complete</x:v>
      </x:c>
      <x:c r="I20" s="27" t="str">
        <x:v>Engineering</x:v>
      </x:c>
      <x:c r="J20" s="21" t="str">
        <x:v>C:\Users\danjo\source\repos\Vermintide-2-Source-Code/scripts/settings/profiles/base_units.lua</x:v>
      </x:c>
      <x:c r="K20" s="21" t="str">
        <x:v>Player base-unit and ragdoll/unit resource conventions.</x:v>
      </x:c>
      <x:c r="L20" s="21" t="str">
        <x:v>C:\Users\danjo\source\repos\Vermintide-2-Source-Code/scripts/settings/profiles/base_units.lua</x:v>
      </x:c>
      <x:c r="M20" s="21" t="str">
        <x:v>Reviewed locally for this workbook.</x:v>
      </x:c>
    </x:row>
    <x:row r="21" ht="46" customHeight="1">
      <x:c r="A21" s="24" t="str">
        <x:v>SRC-017</x:v>
      </x:c>
      <x:c r="B21" s="21" t="str">
        <x:v>Source map</x:v>
      </x:c>
      <x:c r="C21" s="21" t="str">
        <x:v>Ability HUD</x:v>
      </x:c>
      <x:c r="D21" s="21" t="str">
        <x:v>Reference</x:v>
      </x:c>
      <x:c r="E21" s="21" t="str">
        <x:v>SRC-017</x:v>
      </x:c>
      <x:c r="F21" s="27" t="str">
        <x:v>Required</x:v>
      </x:c>
      <x:c r="G21" s="27" t="str">
        <x:v>P1</x:v>
      </x:c>
      <x:c r="H21" s="27" t="str">
        <x:v>Complete</x:v>
      </x:c>
      <x:c r="I21" s="27" t="str">
        <x:v>Engineering</x:v>
      </x:c>
      <x:c r="J21" s="21" t="str">
        <x:v>C:\Users\danjo\source\repos\Vermintide-2-Source-Code/scripts/ui/hud_ui/ability_ui.lua</x:v>
      </x:c>
      <x:c r="K21" s="21" t="str">
        <x:v>Career ability icon, cooldown/charge display and activation feedback.</x:v>
      </x:c>
      <x:c r="L21" s="21" t="str">
        <x:v>C:\Users\danjo\source\repos\Vermintide-2-Source-Code/scripts/ui/hud_ui/ability_ui.lua</x:v>
      </x:c>
      <x:c r="M21" s="21" t="str">
        <x:v>Reviewed locally for this workbook.</x:v>
      </x:c>
    </x:row>
    <x:row r="22" ht="46" customHeight="1">
      <x:c r="A22" s="24" t="str">
        <x:v>SRC-018</x:v>
      </x:c>
      <x:c r="B22" s="21" t="str">
        <x:v>Source map</x:v>
      </x:c>
      <x:c r="C22" s="21" t="str">
        <x:v>Inventory</x:v>
      </x:c>
      <x:c r="D22" s="21" t="str">
        <x:v>Reference</x:v>
      </x:c>
      <x:c r="E22" s="21" t="str">
        <x:v>SRC-018</x:v>
      </x:c>
      <x:c r="F22" s="27" t="str">
        <x:v>Required</x:v>
      </x:c>
      <x:c r="G22" s="27" t="str">
        <x:v>P1</x:v>
      </x:c>
      <x:c r="H22" s="27" t="str">
        <x:v>Complete</x:v>
      </x:c>
      <x:c r="I22" s="27" t="str">
        <x:v>Engineering</x:v>
      </x:c>
      <x:c r="J22" s="21" t="str">
        <x:v>C:\Users\danjo\source\repos\Vermintide-2-Source-Code/scripts/settings/inventory_settings.lua</x:v>
      </x:c>
      <x:c r="K22" s="21" t="str">
        <x:v>Inventory slot/item context needed by potion, bomb and trap conversion.</x:v>
      </x:c>
      <x:c r="L22" s="21" t="str">
        <x:v>C:\Users\danjo\source\repos\Vermintide-2-Source-Code/scripts/settings/inventory_settings.lua</x:v>
      </x:c>
      <x:c r="M22" s="21" t="str">
        <x:v>Reviewed locally for this workbook.</x:v>
      </x:c>
    </x:row>
    <x:row r="23" ht="46" customHeight="1">
      <x:c r="A23" s="24" t="str">
        <x:v>SRC-019</x:v>
      </x:c>
      <x:c r="B23" s="21" t="str">
        <x:v>Source map</x:v>
      </x:c>
      <x:c r="C23" s="21" t="str">
        <x:v>Versus HUD components</x:v>
      </x:c>
      <x:c r="D23" s="21" t="str">
        <x:v>Reference</x:v>
      </x:c>
      <x:c r="E23" s="21" t="str">
        <x:v>SRC-019</x:v>
      </x:c>
      <x:c r="F23" s="27" t="str">
        <x:v>Required</x:v>
      </x:c>
      <x:c r="G23" s="27" t="str">
        <x:v>P1</x:v>
      </x:c>
      <x:c r="H23" s="27" t="str">
        <x:v>Complete</x:v>
      </x:c>
      <x:c r="I23" s="27" t="str">
        <x:v>Engineering</x:v>
      </x:c>
      <x:c r="J23" s="21" t="str">
        <x:v>C:\Users\danjo\source\repos\Vermintide-2-Source-Code/scripts/ui/hud_ui/component_list_definitions/hud_component_list_versus.lua</x:v>
      </x:c>
      <x:c r="K23" s="21" t="str">
        <x:v>Playable-rat HUD composition and dark-pact presentation precedent.</x:v>
      </x:c>
      <x:c r="L23" s="21" t="str">
        <x:v>C:\Users\danjo\source\repos\Vermintide-2-Source-Code/scripts/ui/hud_ui/component_list_definitions/hud_component_list_versus.lua</x:v>
      </x:c>
      <x:c r="M23" s="21" t="str">
        <x:v>Reviewed locally for this workbook.</x:v>
      </x:c>
    </x:row>
    <x:row r="24" ht="46" customHeight="1">
      <x:c r="A24" s="24" t="str">
        <x:v>SRC-020</x:v>
      </x:c>
      <x:c r="B24" s="21" t="str">
        <x:v>Source map</x:v>
      </x:c>
      <x:c r="C24" s="21" t="str">
        <x:v>Pusfume asset pipeline</x:v>
      </x:c>
      <x:c r="D24" s="21" t="str">
        <x:v>Reference</x:v>
      </x:c>
      <x:c r="E24" s="21" t="str">
        <x:v>SRC-020</x:v>
      </x:c>
      <x:c r="F24" s="27" t="str">
        <x:v>Required</x:v>
      </x:c>
      <x:c r="G24" s="27" t="str">
        <x:v>P1</x:v>
      </x:c>
      <x:c r="H24" s="27" t="str">
        <x:v>Complete</x:v>
      </x:c>
      <x:c r="I24" s="27" t="str">
        <x:v>Engineering</x:v>
      </x:c>
      <x:c r="J24" s="21" t="str">
        <x:v>C:\Users\danjo\source\repos\vt2-pusfume-1p/docs/ASSET_PIPELINE.md</x:v>
      </x:c>
      <x:c r="K24" s="21" t="str">
        <x:v>Validated FBX, Blender, Stingray, atlas, compiler, Workshop, and animation-controller rules.</x:v>
      </x:c>
      <x:c r="L24" s="21" t="str">
        <x:v>C:\Users\danjo\source\repos\vt2-pusfume-1p/docs/ASSET_PIPELINE.md</x:v>
      </x:c>
      <x:c r="M24" s="21" t="str">
        <x:v>Reviewed locally for this workbook.</x:v>
      </x:c>
    </x:row>
    <x:row r="25" ht="46" customHeight="1">
      <x:c r="A25" s="24" t="str">
        <x:v>SRC-021</x:v>
      </x:c>
      <x:c r="B25" s="21" t="str">
        <x:v>Source map</x:v>
      </x:c>
      <x:c r="C25" s="21" t="str">
        <x:v>Pusfume model handoff</x:v>
      </x:c>
      <x:c r="D25" s="21" t="str">
        <x:v>Reference</x:v>
      </x:c>
      <x:c r="E25" s="21" t="str">
        <x:v>SRC-021</x:v>
      </x:c>
      <x:c r="F25" s="27" t="str">
        <x:v>Required</x:v>
      </x:c>
      <x:c r="G25" s="27" t="str">
        <x:v>P1</x:v>
      </x:c>
      <x:c r="H25" s="27" t="str">
        <x:v>Complete</x:v>
      </x:c>
      <x:c r="I25" s="27" t="str">
        <x:v>Engineering</x:v>
      </x:c>
      <x:c r="J25" s="21" t="str">
        <x:v>C:\Users\danjo\source\repos\vt2-pusfume-1p/docs/MODEL_HANDOFF.md</x:v>
      </x:c>
      <x:c r="K25" s="21" t="str">
        <x:v>Current mesh, rig, material slots, textures, fur/whisker constraints and donor architecture.</x:v>
      </x:c>
      <x:c r="L25" s="21" t="str">
        <x:v>C:\Users\danjo\source\repos\vt2-pusfume-1p/docs/MODEL_HANDOFF.md</x:v>
      </x:c>
      <x:c r="M25" s="21" t="str">
        <x:v>Reviewed locally for this workbook.</x:v>
      </x:c>
    </x:row>
    <x:row r="26" ht="46" customHeight="1">
      <x:c r="A26" s="24" t="str">
        <x:v>SRC-022</x:v>
      </x:c>
      <x:c r="B26" s="21" t="str">
        <x:v>Source map</x:v>
      </x:c>
      <x:c r="C26" s="21" t="str">
        <x:v>Pusfume career spec V2</x:v>
      </x:c>
      <x:c r="D26" s="21" t="str">
        <x:v>Reference</x:v>
      </x:c>
      <x:c r="E26" s="21" t="str">
        <x:v>SRC-022</x:v>
      </x:c>
      <x:c r="F26" s="27" t="str">
        <x:v>Required</x:v>
      </x:c>
      <x:c r="G26" s="27" t="str">
        <x:v>P1</x:v>
      </x:c>
      <x:c r="H26" s="27" t="str">
        <x:v>Complete</x:v>
      </x:c>
      <x:c r="I26" s="27" t="str">
        <x:v>Engineering</x:v>
      </x:c>
      <x:c r="J26" s="21" t="str">
        <x:v>C:\Users\danjo\source\repos\vt2-pusfume-1p/docs/PUSFUME_CAREER_SPEC_V2.md</x:v>
      </x:c>
      <x:c r="K26" s="21" t="str">
        <x:v>Current career identity, passive, perks, skill, quests, talents and gameplay requirements.</x:v>
      </x:c>
      <x:c r="L26" s="21" t="str">
        <x:v>C:\Users\danjo\source\repos\vt2-pusfume-1p/docs/PUSFUME_CAREER_SPEC_V2.md</x:v>
      </x:c>
      <x:c r="M26" s="21" t="str">
        <x:v>Reviewed locally for this workbook.</x:v>
      </x:c>
    </x:row>
    <x:row r="27" ht="46" customHeight="1">
      <x:c r="A27" s="24" t="str">
        <x:v>SRC-023</x:v>
      </x:c>
      <x:c r="B27" s="21" t="str">
        <x:v>Source map</x:v>
      </x:c>
      <x:c r="C27" s="21" t="str">
        <x:v>Pusfume career kit</x:v>
      </x:c>
      <x:c r="D27" s="21" t="str">
        <x:v>Reference</x:v>
      </x:c>
      <x:c r="E27" s="21" t="str">
        <x:v>SRC-023</x:v>
      </x:c>
      <x:c r="F27" s="27" t="str">
        <x:v>Required</x:v>
      </x:c>
      <x:c r="G27" s="27" t="str">
        <x:v>P1</x:v>
      </x:c>
      <x:c r="H27" s="27" t="str">
        <x:v>Complete</x:v>
      </x:c>
      <x:c r="I27" s="27" t="str">
        <x:v>Engineering</x:v>
      </x:c>
      <x:c r="J27" s="21" t="str">
        <x:v>C:\Users\danjo\source\repos\vt2-pusfume-1p/docs/CAREER_KIT.md</x:v>
      </x:c>
      <x:c r="K27" s="21" t="str">
        <x:v>Implementation-facing career data and placeholder asset needs.</x:v>
      </x:c>
      <x:c r="L27" s="21" t="str">
        <x:v>C:\Users\danjo\source\repos\vt2-pusfume-1p/docs/CAREER_KIT.md</x:v>
      </x:c>
      <x:c r="M27" s="21" t="str">
        <x:v>Reviewed locally for this workbook.</x:v>
      </x:c>
    </x:row>
    <x:row r="28" ht="46" customHeight="1">
      <x:c r="A28" s="24" t="str">
        <x:v>SRC-024</x:v>
      </x:c>
      <x:c r="B28" s="21" t="str">
        <x:v>Source map</x:v>
      </x:c>
      <x:c r="C28" s="21" t="str">
        <x:v>Portrait builder</x:v>
      </x:c>
      <x:c r="D28" s="21" t="str">
        <x:v>Reference</x:v>
      </x:c>
      <x:c r="E28" s="21" t="str">
        <x:v>SRC-024</x:v>
      </x:c>
      <x:c r="F28" s="27" t="str">
        <x:v>Required</x:v>
      </x:c>
      <x:c r="G28" s="27" t="str">
        <x:v>P1</x:v>
      </x:c>
      <x:c r="H28" s="27" t="str">
        <x:v>Complete</x:v>
      </x:c>
      <x:c r="I28" s="27" t="str">
        <x:v>Engineering</x:v>
      </x:c>
      <x:c r="J28" s="21" t="str">
        <x:v>C:\Users\danjo\source\repos\vt2-pusfume-1p/tools/Build-PusfumePortrait.ps1</x:v>
      </x:c>
      <x:c r="K28" s="21" t="str">
        <x:v>Validated Pusfume portrait masks and atlas-generation workflow.</x:v>
      </x:c>
      <x:c r="L28" s="21" t="str">
        <x:v>C:\Users\danjo\source\repos\vt2-pusfume-1p/tools/Build-PusfumePortrait.ps1</x:v>
      </x:c>
      <x:c r="M28" s="21" t="str">
        <x:v>Reviewed locally for this workbook.</x:v>
      </x:c>
    </x:row>
    <x:row r="29" ht="46" customHeight="1">
      <x:c r="A29" s="24" t="str">
        <x:v>SRC-025</x:v>
      </x:c>
      <x:c r="B29" s="21" t="str">
        <x:v>Source map</x:v>
      </x:c>
      <x:c r="C29" s="21" t="str">
        <x:v>Animated 3p preparation</x:v>
      </x:c>
      <x:c r="D29" s="21" t="str">
        <x:v>Reference</x:v>
      </x:c>
      <x:c r="E29" s="21" t="str">
        <x:v>SRC-025</x:v>
      </x:c>
      <x:c r="F29" s="27" t="str">
        <x:v>Required</x:v>
      </x:c>
      <x:c r="G29" s="27" t="str">
        <x:v>P1</x:v>
      </x:c>
      <x:c r="H29" s="27" t="str">
        <x:v>Complete</x:v>
      </x:c>
      <x:c r="I29" s="27" t="str">
        <x:v>Engineering</x:v>
      </x:c>
      <x:c r="J29" s="21" t="str">
        <x:v>C:\Users\danjo\source\repos\vt2-pusfume-1p/tools/prepare_animated_pusfume_fbx.py</x:v>
      </x:c>
      <x:c r="K29" s="21" t="str">
        <x:v>Action transfer, fur deformation and skinned FBX export gates.</x:v>
      </x:c>
      <x:c r="L29" s="21" t="str">
        <x:v>C:\Users\danjo\source\repos\vt2-pusfume-1p/tools/prepare_animated_pusfume_fbx.py</x:v>
      </x:c>
      <x:c r="M29" s="21" t="str">
        <x:v>Reviewed locally for this workbook.</x:v>
      </x:c>
    </x:row>
    <x:row r="30" ht="46" customHeight="1">
      <x:c r="A30" s="24" t="str">
        <x:v>SRC-026</x:v>
      </x:c>
      <x:c r="B30" s="21" t="str">
        <x:v>Source map</x:v>
      </x:c>
      <x:c r="C30" s="21" t="str">
        <x:v>First-person preparation</x:v>
      </x:c>
      <x:c r="D30" s="21" t="str">
        <x:v>Reference</x:v>
      </x:c>
      <x:c r="E30" s="21" t="str">
        <x:v>SRC-026</x:v>
      </x:c>
      <x:c r="F30" s="27" t="str">
        <x:v>Required</x:v>
      </x:c>
      <x:c r="G30" s="27" t="str">
        <x:v>P1</x:v>
      </x:c>
      <x:c r="H30" s="27" t="str">
        <x:v>Complete</x:v>
      </x:c>
      <x:c r="I30" s="27" t="str">
        <x:v>Engineering</x:v>
      </x:c>
      <x:c r="J30" s="21" t="str">
        <x:v>C:\Users\danjo\source\repos\vt2-pusfume-1p/tools/prepare_pusfume_1p_blend.py</x:v>
      </x:c>
      <x:c r="K30" s="21" t="str">
        <x:v>Donor rest matrices, 1p mesh validation, weight normalization and export.</x:v>
      </x:c>
      <x:c r="L30" s="21" t="str">
        <x:v>C:\Users\danjo\source\repos\vt2-pusfume-1p/tools/prepare_pusfume_1p_blend.py</x:v>
      </x:c>
      <x:c r="M30" s="21" t="str">
        <x:v>Reviewed locally for this workbook.</x:v>
      </x:c>
    </x:row>
    <x:row r="31" ht="46" customHeight="1">
      <x:c r="A31" s="24" t="str">
        <x:v>SRC-027</x:v>
      </x:c>
      <x:c r="B31" s="21" t="str">
        <x:v>Source map</x:v>
      </x:c>
      <x:c r="C31" s="21" t="str">
        <x:v>Native build</x:v>
      </x:c>
      <x:c r="D31" s="21" t="str">
        <x:v>Reference</x:v>
      </x:c>
      <x:c r="E31" s="21" t="str">
        <x:v>SRC-027</x:v>
      </x:c>
      <x:c r="F31" s="27" t="str">
        <x:v>Required</x:v>
      </x:c>
      <x:c r="G31" s="27" t="str">
        <x:v>P1</x:v>
      </x:c>
      <x:c r="H31" s="27" t="str">
        <x:v>Complete</x:v>
      </x:c>
      <x:c r="I31" s="27" t="str">
        <x:v>Engineering</x:v>
      </x:c>
      <x:c r="J31" s="21" t="str">
        <x:v>C:\Users\danjo\source\repos\vt2-pusfume-1p/tools/Build-NativePusfume.ps1</x:v>
      </x:c>
      <x:c r="K31" s="21" t="str">
        <x:v>VT2 SDK compile, materials, controller, package staging, deploy and Workshop integration.</x:v>
      </x:c>
      <x:c r="L31" s="21" t="str">
        <x:v>C:\Users\danjo\source\repos\vt2-pusfume-1p/tools/Build-NativePusfume.ps1</x:v>
      </x:c>
      <x:c r="M31" s="21" t="str">
        <x:v>Reviewed locally for this workbook.</x:v>
      </x:c>
    </x:row>
    <x:row r="32" ht="46" customHeight="1">
      <x:c r="A32" s="24" t="str">
        <x:v>SRC-028</x:v>
      </x:c>
      <x:c r="B32" s="21" t="str">
        <x:v>Source map</x:v>
      </x:c>
      <x:c r="C32" s="21" t="str">
        <x:v>Atlas layout</x:v>
      </x:c>
      <x:c r="D32" s="21" t="str">
        <x:v>Reference</x:v>
      </x:c>
      <x:c r="E32" s="21" t="str">
        <x:v>SRC-028</x:v>
      </x:c>
      <x:c r="F32" s="27" t="str">
        <x:v>Required</x:v>
      </x:c>
      <x:c r="G32" s="27" t="str">
        <x:v>P1</x:v>
      </x:c>
      <x:c r="H32" s="27" t="str">
        <x:v>Complete</x:v>
      </x:c>
      <x:c r="I32" s="27" t="str">
        <x:v>Engineering</x:v>
      </x:c>
      <x:c r="J32" s="21" t="str">
        <x:v>C:\Users\danjo\source\repos\vt2-pusfume-1p/tools/pusfume_atlas_layout.json</x:v>
      </x:c>
      <x:c r="K32" s="21" t="str">
        <x:v>Opaque material UV layout, source regions and guard-tile contract.</x:v>
      </x:c>
      <x:c r="L32" s="21" t="str">
        <x:v>C:\Users\danjo\source\repos\vt2-pusfume-1p/tools/pusfume_atlas_layout.json</x:v>
      </x:c>
      <x:c r="M32" s="21" t="str">
        <x:v>Reviewed locally for this workbook.</x:v>
      </x:c>
    </x:row>
    <x:row r="33" ht="46" customHeight="1">
      <x:c r="A33" s="24" t="str">
        <x:v>SRC-029</x:v>
      </x:c>
      <x:c r="B33" s="21" t="str">
        <x:v>Source map</x:v>
      </x:c>
      <x:c r="C33" s="21" t="str">
        <x:v>Native character milestone</x:v>
      </x:c>
      <x:c r="D33" s="21" t="str">
        <x:v>Reference</x:v>
      </x:c>
      <x:c r="E33" s="21" t="str">
        <x:v>SRC-029</x:v>
      </x:c>
      <x:c r="F33" s="27" t="str">
        <x:v>Required</x:v>
      </x:c>
      <x:c r="G33" s="27" t="str">
        <x:v>P1</x:v>
      </x:c>
      <x:c r="H33" s="27" t="str">
        <x:v>Complete</x:v>
      </x:c>
      <x:c r="I33" s="27" t="str">
        <x:v>Engineering</x:v>
      </x:c>
      <x:c r="J33" s="21" t="str">
        <x:v>C:\Users\danjo\source\repos\vt2-pusfume-1p/docs/NATIVE_CHARACTER_MILESTONE.md</x:v>
      </x:c>
      <x:c r="K33" s="21" t="str">
        <x:v>Empirical proof boundary for animated model/material integration and remaining limitations.</x:v>
      </x:c>
      <x:c r="L33" s="21" t="str">
        <x:v>C:\Users\danjo\source\repos\vt2-pusfume-1p/docs/NATIVE_CHARACTER_MILESTONE.md</x:v>
      </x:c>
      <x:c r="M33" s="21" t="str">
        <x:v>Reviewed locally for this workbook.</x:v>
      </x:c>
    </x:row>
    <x:row r="34" ht="46" customHeight="1">
      <x:c r="A34" s="24" t="str">
        <x:v>SRC-030</x:v>
      </x:c>
      <x:c r="B34" s="21" t="str">
        <x:v>Source map</x:v>
      </x:c>
      <x:c r="C34" s="21" t="str">
        <x:v>Bitsquid Blender tools</x:v>
      </x:c>
      <x:c r="D34" s="21" t="str">
        <x:v>Reference</x:v>
      </x:c>
      <x:c r="E34" s="21" t="str">
        <x:v>SRC-030</x:v>
      </x:c>
      <x:c r="F34" s="27" t="str">
        <x:v>Required</x:v>
      </x:c>
      <x:c r="G34" s="27" t="str">
        <x:v>P1</x:v>
      </x:c>
      <x:c r="H34" s="27" t="str">
        <x:v>Complete</x:v>
      </x:c>
      <x:c r="I34" s="27" t="str">
        <x:v>Engineering</x:v>
      </x:c>
      <x:c r="J34" s="21" t="str">
        <x:v>C:/Users/danjo/source/repos/_bitsquid_blender_tools</x:v>
      </x:c>
      <x:c r="K34" s="21" t="str">
        <x:v>Local legacy Bitsquid Blender integration reference; use for research, not as sole compatibility proof.</x:v>
      </x:c>
      <x:c r="L34" s="21" t="str">
        <x:v>C:/Users/danjo/source/repos/_bitsquid_blender_tools</x:v>
      </x:c>
      <x:c r="M34" s="21" t="str">
        <x:v>Reviewed locally for this workbook.</x:v>
      </x:c>
    </x:row>
    <x:row r="35" ht="46" customHeight="1">
      <x:c r="A35" s="24" t="str">
        <x:v>SRC-031</x:v>
      </x:c>
      <x:c r="B35" s="21" t="str">
        <x:v>Source map</x:v>
      </x:c>
      <x:c r="C35" s="21" t="str">
        <x:v>Bitsquid Blender tools wiki</x:v>
      </x:c>
      <x:c r="D35" s="21" t="str">
        <x:v>Reference</x:v>
      </x:c>
      <x:c r="E35" s="21" t="str">
        <x:v>SRC-031</x:v>
      </x:c>
      <x:c r="F35" s="27" t="str">
        <x:v>Required</x:v>
      </x:c>
      <x:c r="G35" s="27" t="str">
        <x:v>P1</x:v>
      </x:c>
      <x:c r="H35" s="27" t="str">
        <x:v>Complete</x:v>
      </x:c>
      <x:c r="I35" s="27" t="str">
        <x:v>Engineering</x:v>
      </x:c>
      <x:c r="J35" s="21" t="str">
        <x:v>C:/Users/danjo/source/repos/_bitsquid_blender_tools_wiki</x:v>
      </x:c>
      <x:c r="K35" s="21" t="str">
        <x:v>Local workflow notes for Bitsquid asset exchange.</x:v>
      </x:c>
      <x:c r="L35" s="21" t="str">
        <x:v>C:/Users/danjo/source/repos/_bitsquid_blender_tools_wiki</x:v>
      </x:c>
      <x:c r="M35" s="21" t="str">
        <x:v>Reviewed locally for this workbook.</x:v>
      </x:c>
    </x:row>
    <x:row r="36" ht="46" customHeight="1">
      <x:c r="A36" s="24" t="str">
        <x:v>SRC-032</x:v>
      </x:c>
      <x:c r="B36" s="21" t="str">
        <x:v>Source map</x:v>
      </x:c>
      <x:c r="C36" s="21" t="str">
        <x:v>Stingray reverse engineering</x:v>
      </x:c>
      <x:c r="D36" s="21" t="str">
        <x:v>Reference</x:v>
      </x:c>
      <x:c r="E36" s="21" t="str">
        <x:v>SRC-032</x:v>
      </x:c>
      <x:c r="F36" s="27" t="str">
        <x:v>Required</x:v>
      </x:c>
      <x:c r="G36" s="27" t="str">
        <x:v>P1</x:v>
      </x:c>
      <x:c r="H36" s="27" t="str">
        <x:v>Complete</x:v>
      </x:c>
      <x:c r="I36" s="27" t="str">
        <x:v>Engineering</x:v>
      </x:c>
      <x:c r="J36" s="21" t="str">
        <x:v>C:/Users/danjo/source/repos/_stingray_reverse_engineering</x:v>
      </x:c>
      <x:c r="K36" s="21" t="str">
        <x:v>Local experiments and format diagnostics; empirical support only.</x:v>
      </x:c>
      <x:c r="L36" s="21" t="str">
        <x:v>C:/Users/danjo/source/repos/_stingray_reverse_engineering</x:v>
      </x:c>
      <x:c r="M36" s="21" t="str">
        <x:v>Reviewed locally for this workbook.</x:v>
      </x:c>
    </x:row>
    <x:row r="37" ht="46" customHeight="1">
      <x:c r="A37" s="24" t="str">
        <x:v>SRC-033</x:v>
      </x:c>
      <x:c r="B37" s="21" t="str">
        <x:v>Source map</x:v>
      </x:c>
      <x:c r="C37" s="21" t="str">
        <x:v>First-person scale experiment</x:v>
      </x:c>
      <x:c r="D37" s="21" t="str">
        <x:v>Reference</x:v>
      </x:c>
      <x:c r="E37" s="21" t="str">
        <x:v>SRC-033</x:v>
      </x:c>
      <x:c r="F37" s="27" t="str">
        <x:v>Required</x:v>
      </x:c>
      <x:c r="G37" s="27" t="str">
        <x:v>P1</x:v>
      </x:c>
      <x:c r="H37" s="27" t="str">
        <x:v>Complete</x:v>
      </x:c>
      <x:c r="I37" s="27" t="str">
        <x:v>Engineering</x:v>
      </x:c>
      <x:c r="J37" s="21" t="str">
        <x:v>C:\Users\danjo\source\repos\vt2-pusfume-1p/tools/experiment_pusfume_1p_scale.py</x:v>
      </x:c>
      <x:c r="K37" s="21" t="str">
        <x:v>Current empirical investigation of bind-space/object-scale alternatives.</x:v>
      </x:c>
      <x:c r="L37" s="21" t="str">
        <x:v>C:\Users\danjo\source\repos\vt2-pusfume-1p/tools/experiment_pusfume_1p_scale.py</x:v>
      </x:c>
      <x:c r="M37" s="21" t="str">
        <x:v>Reviewed locally for this workbook.</x:v>
      </x:c>
    </x:row>
    <x:row r="38" ht="46" customHeight="1">
      <x:c r="A38" s="25" t="str">
        <x:v>SRC-034</x:v>
      </x:c>
      <x:c r="B38" s="22" t="str">
        <x:v>Source map</x:v>
      </x:c>
      <x:c r="C38" s="22" t="str">
        <x:v>Compiled rest validator</x:v>
      </x:c>
      <x:c r="D38" s="22" t="str">
        <x:v>Reference</x:v>
      </x:c>
      <x:c r="E38" s="22" t="str">
        <x:v>SRC-034</x:v>
      </x:c>
      <x:c r="F38" s="28" t="str">
        <x:v>Required</x:v>
      </x:c>
      <x:c r="G38" s="28" t="str">
        <x:v>P1</x:v>
      </x:c>
      <x:c r="H38" s="28" t="str">
        <x:v>Complete</x:v>
      </x:c>
      <x:c r="I38" s="28" t="str">
        <x:v>Engineering</x:v>
      </x:c>
      <x:c r="J38" s="22" t="str">
        <x:v>C:\Users\danjo\source\repos\vt2-pusfume-1p/tools/validate_compiled_1p_rest.py</x:v>
      </x:c>
      <x:c r="K38" s="22" t="str">
        <x:v>Checks first-person compiled scene graph against donor rest transforms.</x:v>
      </x:c>
      <x:c r="L38" s="22" t="str">
        <x:v>C:\Users\danjo\source\repos\vt2-pusfume-1p/tools/validate_compiled_1p_rest.py</x:v>
      </x:c>
      <x:c r="M38" s="22" t="str">
        <x:v>Reviewed locally for this workbook.</x:v>
      </x:c>
    </x:row>
  </x:sheetData>
  <x:mergeCells>
    <x:mergeCell ref="A1:M1"/>
    <x:mergeCell ref="A2:M2"/>
  </x:mergeCells>
  <x:conditionalFormatting sqref="H5:H38">
    <x:cfRule type="containsText" dxfId="42" priority="1" operator="containsText" text="Complete"/>
    <x:cfRule type="containsText" dxfId="43" priority="2" operator="containsText" text="In Progress"/>
    <x:cfRule type="containsText" dxfId="44" priority="3" operator="containsText" text="Prototype Ready"/>
    <x:cfRule type="containsText" dxfId="45" priority="4" operator="containsText" text="Blocked"/>
  </x:conditionalFormatting>
  <x:conditionalFormatting sqref="G5:G38">
    <x:cfRule type="containsText" dxfId="46" priority="5" operator="containsText" text="P0"/>
    <x:cfRule type="containsText" dxfId="47" priority="6" operator="containsText" text="P1"/>
  </x:conditionalFormatting>
  <x:dataValidations count="4">
    <x:dataValidation type="list" sqref="F5:F38">
      <x:formula1>"Required,Optional,Conditional"</x:formula1>
    </x:dataValidation>
    <x:dataValidation type="list" sqref="G5:G38">
      <x:formula1>"P0,P1,P2,P3"</x:formula1>
    </x:dataValidation>
    <x:dataValidation type="list" sqref="H5:H38">
      <x:formula1>"Not Started,In Progress,Ready for Review,Prototype Ready,Blocked,Complete,Not Applicable"</x:formula1>
    </x:dataValidation>
    <x:dataValidation type="list" sqref="I5:I38">
      <x:formula1>"Janfon,Engineering,Audio,VFX,Design,QA,Janfon + Engineering,Unassigned"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be124ba6cf4683"/>
  </x:tableParts>
</x:worksheet>
</file>